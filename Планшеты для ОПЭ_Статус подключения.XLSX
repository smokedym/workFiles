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sh3\OneDrive\Рабочий стол\"/>
    </mc:Choice>
  </mc:AlternateContent>
  <bookViews>
    <workbookView xWindow="0" yWindow="0" windowWidth="13212" windowHeight="8160"/>
  </bookViews>
  <sheets>
    <sheet name="План ОПЭ" sheetId="1" r:id="rId1"/>
    <sheet name="Неплан ОПЭ" sheetId="2" r:id="rId2"/>
    <sheet name="МДМ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SP1">[1]FES!#REF!</definedName>
    <definedName name="_SP10">[1]FES!#REF!</definedName>
    <definedName name="_SP11">[1]FES!#REF!</definedName>
    <definedName name="_SP12">[1]FES!#REF!</definedName>
    <definedName name="_SP13">[1]FES!#REF!</definedName>
    <definedName name="_SP14">[1]FES!#REF!</definedName>
    <definedName name="_SP15">[1]FES!#REF!</definedName>
    <definedName name="_SP16">[1]FES!#REF!</definedName>
    <definedName name="_SP17">[1]FES!#REF!</definedName>
    <definedName name="_SP18">[1]FES!#REF!</definedName>
    <definedName name="_SP19">[1]FES!#REF!</definedName>
    <definedName name="_SP2">[1]FES!#REF!</definedName>
    <definedName name="_SP20">[1]FES!#REF!</definedName>
    <definedName name="_SP3">[1]FES!#REF!</definedName>
    <definedName name="_SP4">[1]FES!#REF!</definedName>
    <definedName name="_SP5">[1]FES!#REF!</definedName>
    <definedName name="_SP7">[1]FES!#REF!</definedName>
    <definedName name="_SP8">[1]FES!#REF!</definedName>
    <definedName name="_SP9">[1]FES!#REF!</definedName>
    <definedName name="_xlnm._FilterDatabase" localSheetId="1" hidden="1">'Неплан ОПЭ'!$A$1:$C$691</definedName>
    <definedName name="_xlnm._FilterDatabase" localSheetId="0" hidden="1">'План ОПЭ'!$A$1:$K$201</definedName>
    <definedName name="a">#NAME?</definedName>
    <definedName name="AccessDatabase" hidden="1">"C:\My Documents\vlad\Var_2\can270398v2t05.mdb"</definedName>
    <definedName name="anscount" hidden="1">1</definedName>
    <definedName name="B">#NAME?</definedName>
    <definedName name="CompOt">#NAME?</definedName>
    <definedName name="CompOt2">#NAME?</definedName>
    <definedName name="CompRas">#NAME?</definedName>
    <definedName name="Contents">[2]Содержание!$A$3</definedName>
    <definedName name="CUR_VER">[3]Заголовок!$B$21</definedName>
    <definedName name="e">#NAME?</definedName>
    <definedName name="ew">#NAME?</definedName>
    <definedName name="Excel_BuiltIn__FilterDatabase_19">#NAME?</definedName>
    <definedName name="Excel_BuiltIn__FilterDatabase_22">#NAME?</definedName>
    <definedName name="Excel_BuiltIn__FilterDatabase_8_1">"$#ССЫЛ!.$D$1:$D$100"</definedName>
    <definedName name="Excel_BuiltIn__FilterDatabase_8_21">#REF!</definedName>
    <definedName name="Excel_BuiltIn_Print_Area_15">(#REF!,#REF!)</definedName>
    <definedName name="Excel_BuiltIn_Print_Area_16">(#REF!,#REF!)</definedName>
    <definedName name="Excel_BuiltIn_Print_Titles_15">#REF!</definedName>
    <definedName name="Excel_BuiltIn_Print_Titles_16">#REF!</definedName>
    <definedName name="EXPE">#REF!</definedName>
    <definedName name="EXPF">#REF!</definedName>
    <definedName name="EXPM">#REF!</definedName>
    <definedName name="ExternalData_1" localSheetId="2" hidden="1">МДМ!$A$1:$C$790</definedName>
    <definedName name="fg">#NAME?</definedName>
    <definedName name="fil_2_16">#N/A</definedName>
    <definedName name="fil_2_18">#N/A</definedName>
    <definedName name="fil_2_19">#N/A</definedName>
    <definedName name="fil_2_22">#NAME?</definedName>
    <definedName name="fil_21">#REF!</definedName>
    <definedName name="fil_3_16">#N/A</definedName>
    <definedName name="fil_3_18">#N/A</definedName>
    <definedName name="fil_3_19">#N/A</definedName>
    <definedName name="fil_3_22">#NAME?</definedName>
    <definedName name="fil_4_16">#N/A</definedName>
    <definedName name="fil_4_18">#N/A</definedName>
    <definedName name="fil_4_19">#N/A</definedName>
    <definedName name="fil_4_22">#NAME?</definedName>
    <definedName name="g">#NAME?</definedName>
    <definedName name="H?Address">[2]Заголовок!$B$7:$G$7</definedName>
    <definedName name="H?Description">[2]Заголовок!$A$4</definedName>
    <definedName name="H?EntityName">[2]Заголовок!$B$6:$G$6</definedName>
    <definedName name="H?Name">[2]Заголовок!$G$1</definedName>
    <definedName name="H?OKATO">[2]Заголовок!$D$12</definedName>
    <definedName name="H?OKFS">[2]Заголовок!$G$12</definedName>
    <definedName name="H?OKOGU">[2]Заголовок!$E$12</definedName>
    <definedName name="H?OKONX">[2]Заголовок!$C$12</definedName>
    <definedName name="H?OKOPF">[2]Заголовок!$F$12</definedName>
    <definedName name="H?OKPO">[2]Заголовок!$A$12</definedName>
    <definedName name="H?OKVD">[2]Заголовок!$B$12</definedName>
    <definedName name="H?Period">[2]Заголовок!$B$14</definedName>
    <definedName name="H?Table">[2]Заголовок!$A$4:$G$15</definedName>
    <definedName name="H?Title">[2]Заголовок!$A$2</definedName>
    <definedName name="I">#NAME?</definedName>
    <definedName name="IMPE">#REF!</definedName>
    <definedName name="IMPF">#REF!</definedName>
    <definedName name="IMPM">#REF!</definedName>
    <definedName name="Irtysh">[4]иртышская!$A$5:$G$42</definedName>
    <definedName name="k">#NAME?</definedName>
    <definedName name="KTP">#NAME?</definedName>
    <definedName name="KUP">#REF!</definedName>
    <definedName name="kW_а_ген1">#REF!</definedName>
    <definedName name="kW_а_ген3">#REF!</definedName>
    <definedName name="limcount" hidden="1">1</definedName>
    <definedName name="line">#NAME?</definedName>
    <definedName name="List18.2.1">#NAME?</definedName>
    <definedName name="List18.2.2">#NAME?</definedName>
    <definedName name="nnnnnnnnnnn18">[1]FES!#REF!</definedName>
    <definedName name="Num">[5]Регионы!$C$24:$C$123</definedName>
    <definedName name="P1_SCOPE_16_PRT">#REF!</definedName>
    <definedName name="P1_SCOPE_17_PRT">#REF!</definedName>
    <definedName name="P1_SCOPE_4_PRT">#REF!</definedName>
    <definedName name="P1_SCOPE_5_PRT">#REF!</definedName>
    <definedName name="P1_SCOPE_F1_PRT">#REF!</definedName>
    <definedName name="P1_SCOPE_F2_PRT">#REF!</definedName>
    <definedName name="P1_SCOPE_PER_PRT">#REF!</definedName>
    <definedName name="P1_SCOPE_SV_LD1">#REF!</definedName>
    <definedName name="P1_SCOPE_SV_PRT" hidden="1">#REF!</definedName>
    <definedName name="P1_T1?axis?ПРД2?2005" hidden="1">#REF!</definedName>
    <definedName name="P1_T1?axis?ПРД2?2006" hidden="1">#REF!</definedName>
    <definedName name="P1_T1?Data" hidden="1">#REF!</definedName>
    <definedName name="P1_T1?Fuel_type" hidden="1">#REF!</definedName>
    <definedName name="P1_T1?L1.1.1" hidden="1">#REF!</definedName>
    <definedName name="P1_T1?L1.1.1.1" hidden="1">#REF!</definedName>
    <definedName name="P1_T1?L1.1.2" hidden="1">#REF!</definedName>
    <definedName name="P1_T1?L1.1.2.1" hidden="1">#REF!</definedName>
    <definedName name="P1_T1?L1.1.2.1.1" hidden="1">#REF!</definedName>
    <definedName name="P1_T1?L1.1.2.1.2" hidden="1">#REF!</definedName>
    <definedName name="P1_T1?L1.1.2.1.3" hidden="1">#REF!</definedName>
    <definedName name="P1_T1?L1.1.2.2" hidden="1">#REF!</definedName>
    <definedName name="P1_T1?L1.1.2.3" hidden="1">#REF!</definedName>
    <definedName name="P1_T1?L1.1.2.4" hidden="1">#REF!</definedName>
    <definedName name="P1_T1?L1.1.2.5" hidden="1">#REF!</definedName>
    <definedName name="P1_T1?L1.1.2.6" hidden="1">#REF!</definedName>
    <definedName name="P1_T1?L1.1.2.7" hidden="1">#REF!</definedName>
    <definedName name="P1_T1?L1.1.2.7.1" hidden="1">#REF!</definedName>
    <definedName name="P1_T1?M1" hidden="1">#REF!</definedName>
    <definedName name="P1_T1?M2" hidden="1">#REF!</definedName>
    <definedName name="P1_T1?unit?ГКАЛ" hidden="1">#REF!</definedName>
    <definedName name="P1_T1?unit?РУБ.ГКАЛ" hidden="1">#REF!</definedName>
    <definedName name="P1_T1?unit?РУБ.ТОНН" hidden="1">#REF!</definedName>
    <definedName name="P1_T1?unit?СТР" hidden="1">#REF!</definedName>
    <definedName name="P1_T1?unit?ТОНН" hidden="1">#REF!</definedName>
    <definedName name="P1_T1?unit?ТРУБ" hidden="1">#REF!</definedName>
    <definedName name="P1_T16_Protect">#NAME?</definedName>
    <definedName name="P1_T17?L4">#NAME?</definedName>
    <definedName name="P1_T17?unit?РУБ.ГКАЛ">#NAME?</definedName>
    <definedName name="P1_T17?unit?ТГКАЛ">#NAME?</definedName>
    <definedName name="P1_T17_Protection">#NAME?</definedName>
    <definedName name="P1_T18.2_Protect">#NAME?</definedName>
    <definedName name="P1_T2.1?Protection">#NAME?</definedName>
    <definedName name="P1_T20_Protection">#NAME?</definedName>
    <definedName name="P1_T21_Protection">#NAME?</definedName>
    <definedName name="P1_T23_Protection">#NAME?</definedName>
    <definedName name="P1_T24_Data" hidden="1">#NAME?</definedName>
    <definedName name="P1_T25_protection">#NAME?</definedName>
    <definedName name="P1_T26_Protection">#NAME?</definedName>
    <definedName name="P1_T27_Protection">#NAME?</definedName>
    <definedName name="P1_T28?axis?R?ПЭ">#NAME?</definedName>
    <definedName name="P1_T28?axis?R?ПЭ?">#NAME?</definedName>
    <definedName name="P1_T28?Data">#NAME?</definedName>
    <definedName name="P1_T28_Protection">#NAME?</definedName>
    <definedName name="P1_T4_Protect">#NAME?</definedName>
    <definedName name="P1_T6_Protect">#NAME?</definedName>
    <definedName name="P10_T1?unit?ТРУБ" hidden="1">#REF!</definedName>
    <definedName name="P10_T28_Protection">#NAME?</definedName>
    <definedName name="P11_T1?unit?ТРУБ" hidden="1">#REF!</definedName>
    <definedName name="P11_T28_Protection">#NAME?</definedName>
    <definedName name="P12_T1?unit?ТРУБ" hidden="1">#NAME?</definedName>
    <definedName name="P12_T28_Protection">P1_T28_Protection,P2_T28_Protection,P3_T28_Protection,P4_T28_Protection,P5_T28_Protection,P6_T28_Protection,P7_T28_Protection,P8_T28_Protection</definedName>
    <definedName name="P13_T1?unit?ТРУБ" hidden="1">#NAME?</definedName>
    <definedName name="P18_T1_Protect" hidden="1">P4_T1_Protect</definedName>
    <definedName name="P19_T1_Protect" hidden="1">P5_T1_Protect,P6_T1_Protect,P7_T1_Protect,P8_T1_Protect,P9_T1_Protect,P10_T1_Protect,P11_T1_Protect,P12_T1_Protect,P13_T1_Protect,P14_T1_Protect</definedName>
    <definedName name="P2_SCOPE_16_PRT">#REF!</definedName>
    <definedName name="P2_SCOPE_4_PRT">#REF!</definedName>
    <definedName name="P2_SCOPE_5_PRT">#REF!</definedName>
    <definedName name="P2_SCOPE_F1_PRT">#REF!</definedName>
    <definedName name="P2_SCOPE_F2_PRT">#REF!</definedName>
    <definedName name="P2_SCOPE_PER_PRT">#REF!</definedName>
    <definedName name="P2_SCOPE_SV_PRT" hidden="1">#REF!</definedName>
    <definedName name="P2_T1?axis?ПРД2?2005" hidden="1">#REF!</definedName>
    <definedName name="P2_T1?axis?ПРД2?2006" hidden="1">#REF!</definedName>
    <definedName name="P2_T1?Data" hidden="1">#REF!</definedName>
    <definedName name="P2_T1?L1.1.1" hidden="1">#REF!</definedName>
    <definedName name="P2_T1?L1.1.1.1" hidden="1">#REF!</definedName>
    <definedName name="P2_T1?L1.1.2" hidden="1">#REF!</definedName>
    <definedName name="P2_T1?L1.1.2.1" hidden="1">#REF!</definedName>
    <definedName name="P2_T1?L1.1.2.1.1" hidden="1">#REF!</definedName>
    <definedName name="P2_T1?L1.1.2.1.2" hidden="1">#REF!</definedName>
    <definedName name="P2_T1?L1.1.2.1.3" hidden="1">#REF!</definedName>
    <definedName name="P2_T1?L1.1.2.2" hidden="1">#REF!</definedName>
    <definedName name="P2_T1?L1.1.2.3" hidden="1">#REF!</definedName>
    <definedName name="P2_T1?L1.1.2.4" hidden="1">#REF!</definedName>
    <definedName name="P2_T1?L1.1.2.5" hidden="1">#REF!</definedName>
    <definedName name="P2_T1?L1.1.2.6" hidden="1">#REF!</definedName>
    <definedName name="P2_T1?L1.1.2.7" hidden="1">#REF!</definedName>
    <definedName name="P2_T1?L1.1.2.7.1" hidden="1">#REF!</definedName>
    <definedName name="P2_T1?M1" hidden="1">#REF!</definedName>
    <definedName name="P2_T1?M2" hidden="1">#REF!</definedName>
    <definedName name="P2_T1?unit?ГКАЛ" hidden="1">#REF!</definedName>
    <definedName name="P2_T1?unit?РУБ.ГКАЛ" hidden="1">#REF!</definedName>
    <definedName name="P2_T1?unit?РУБ.ТОНН" hidden="1">#REF!</definedName>
    <definedName name="P2_T1?unit?СТР" hidden="1">#REF!</definedName>
    <definedName name="P2_T1?unit?ТОНН" hidden="1">#REF!</definedName>
    <definedName name="P2_T1?unit?ТРУБ" hidden="1">#REF!</definedName>
    <definedName name="P2_T17?L4">#NAME?</definedName>
    <definedName name="P2_T17?unit?РУБ.ГКАЛ">#NAME?</definedName>
    <definedName name="P2_T17?unit?ТГКАЛ">#NAME?</definedName>
    <definedName name="P2_T17_Protection">#NAME?</definedName>
    <definedName name="P2_T2.1?Protection">#NAME?</definedName>
    <definedName name="P2_T21_Protection">#NAME?</definedName>
    <definedName name="P2_T25_protection">#NAME?</definedName>
    <definedName name="P2_T26_Protection">#NAME?</definedName>
    <definedName name="P2_T27_Protection">#NAME?</definedName>
    <definedName name="P2_T28?axis?R?ПЭ">#NAME?</definedName>
    <definedName name="P2_T28?axis?R?ПЭ?">#NAME?</definedName>
    <definedName name="P2_T28_Protection">#NAME?</definedName>
    <definedName name="P2_T4_Protect">#NAME?</definedName>
    <definedName name="P3_SCOPE_F1_PRT">#REF!</definedName>
    <definedName name="P3_SCOPE_PER_PRT">#REF!</definedName>
    <definedName name="P3_SCOPE_SV_PRT" hidden="1">#REF!</definedName>
    <definedName name="P3_T1?axis?ПРД2?2005" hidden="1">#REF!</definedName>
    <definedName name="P3_T1?axis?ПРД2?2006" hidden="1">#REF!</definedName>
    <definedName name="P3_T1?Data" hidden="1">#REF!</definedName>
    <definedName name="P3_T1?L1.1.1" hidden="1">#REF!</definedName>
    <definedName name="P3_T1?L1.1.1.1" hidden="1">#REF!</definedName>
    <definedName name="P3_T1?L1.1.2" hidden="1">#NAME?</definedName>
    <definedName name="P3_T1?L1.1.2.1" hidden="1">#REF!</definedName>
    <definedName name="P3_T1?L1.1.2.1.1" hidden="1">#REF!</definedName>
    <definedName name="P3_T1?L1.1.2.1.2" hidden="1">#REF!</definedName>
    <definedName name="P3_T1?L1.1.2.1.3" hidden="1">#REF!</definedName>
    <definedName name="P3_T1?L1.1.2.2" hidden="1">#REF!</definedName>
    <definedName name="P3_T1?L1.1.2.3" hidden="1">#REF!</definedName>
    <definedName name="P3_T1?L1.1.2.4" hidden="1">#REF!</definedName>
    <definedName name="P3_T1?L1.1.2.5" hidden="1">#REF!</definedName>
    <definedName name="P3_T1?L1.1.2.6" hidden="1">#REF!</definedName>
    <definedName name="P3_T1?L1.1.2.7" hidden="1">#REF!</definedName>
    <definedName name="P3_T1?L1.1.2.7.1" hidden="1">#REF!</definedName>
    <definedName name="P3_T1?M1" hidden="1">#REF!</definedName>
    <definedName name="P3_T1?M2" hidden="1">#REF!</definedName>
    <definedName name="P3_T1?unit?ГКАЛ" hidden="1">#REF!</definedName>
    <definedName name="P3_T1?unit?РУБ.ГКАЛ" hidden="1">#REF!</definedName>
    <definedName name="P3_T1?unit?РУБ.ТОНН" hidden="1">#REF!</definedName>
    <definedName name="P3_T1?unit?СТР" hidden="1">#REF!</definedName>
    <definedName name="P3_T1?unit?ТОНН" hidden="1">#REF!</definedName>
    <definedName name="P3_T1?unit?ТРУБ" hidden="1">#REF!</definedName>
    <definedName name="P3_T17_Protection">#NAME?</definedName>
    <definedName name="P3_T21_Protection">#NAME?</definedName>
    <definedName name="P3_T27_Protection">#NAME?</definedName>
    <definedName name="P3_T28?axis?R?ПЭ">#NAME?</definedName>
    <definedName name="P3_T28?axis?R?ПЭ?">#NAME?</definedName>
    <definedName name="P3_T28_Protection">#NAME?</definedName>
    <definedName name="P4_SCOPE_F1_PRT">#REF!</definedName>
    <definedName name="P4_SCOPE_PER_PRT">#REF!</definedName>
    <definedName name="P4_T1?Data" hidden="1">#REF!</definedName>
    <definedName name="P4_T1?unit?ГКАЛ" hidden="1">#REF!</definedName>
    <definedName name="P4_T1?unit?РУБ.ГКАЛ" hidden="1">#REF!</definedName>
    <definedName name="P4_T1?unit?РУБ.ТОНН" hidden="1">#REF!</definedName>
    <definedName name="P4_T1?unit?СТР" hidden="1">#REF!</definedName>
    <definedName name="P4_T1?unit?ТОНН" hidden="1">#REF!</definedName>
    <definedName name="P4_T1?unit?ТРУБ" hidden="1">#REF!</definedName>
    <definedName name="P4_T17_Protection">#NAME?</definedName>
    <definedName name="P4_T2.1?Protection">#NAME?</definedName>
    <definedName name="P4_T28?axis?R?ПЭ">#NAME?</definedName>
    <definedName name="P4_T28?axis?R?ПЭ?">#NAME?</definedName>
    <definedName name="P4_T28_Protection">#NAME?</definedName>
    <definedName name="P5_SCOPE_PER_PRT">#REF!</definedName>
    <definedName name="P5_T1?Data" hidden="1">#REF!</definedName>
    <definedName name="P5_T1?unit?ГКАЛ" hidden="1">#REF!</definedName>
    <definedName name="P5_T1?unit?РУБ.ГКАЛ" hidden="1">#REF!</definedName>
    <definedName name="P5_T1?unit?РУБ.ТОНН" hidden="1">#NAME?</definedName>
    <definedName name="P5_T1?unit?СТР" hidden="1">#REF!</definedName>
    <definedName name="P5_T1?unit?ТРУБ" hidden="1">#REF!</definedName>
    <definedName name="P5_T17_Protection">#NAME?</definedName>
    <definedName name="P5_T2.1?Protection">#NAME?</definedName>
    <definedName name="P5_T28?axis?R?ПЭ">#NAME?</definedName>
    <definedName name="P5_T28?axis?R?ПЭ?">#NAME?</definedName>
    <definedName name="P5_T28_Protection">#NAME?</definedName>
    <definedName name="P6_SCOPE_PER_PRT">#REF!</definedName>
    <definedName name="P6_T1?Data" hidden="1">#REF!</definedName>
    <definedName name="P6_T1?unit?ГКАЛ" hidden="1">#REF!</definedName>
    <definedName name="P6_T1?unit?РУБ.ГКАЛ" hidden="1">#REF!</definedName>
    <definedName name="P6_T1?unit?СТР" hidden="1">#NAME?</definedName>
    <definedName name="P6_T1?unit?ТРУБ" hidden="1">#REF!</definedName>
    <definedName name="P6_T17_Protection">#NAME?</definedName>
    <definedName name="P6_T2.1?Protection">#NAME?</definedName>
    <definedName name="P6_T28?axis?R?ПЭ">#NAME?</definedName>
    <definedName name="P6_T28?axis?R?ПЭ?">#NAME?</definedName>
    <definedName name="P6_T28_Protection">#NAME?</definedName>
    <definedName name="P7_SCOPE_PER_PRT">#REF!</definedName>
    <definedName name="P7_T1?Data" hidden="1">#REF!</definedName>
    <definedName name="P7_T1?unit?ТРУБ" hidden="1">#REF!</definedName>
    <definedName name="P7_T28_Protection">#NAME?</definedName>
    <definedName name="P8_SCOPE_PER_PRT" hidden="1">P4_SCOPE_PER_PRT</definedName>
    <definedName name="P8_T1?Data" hidden="1">#REF!</definedName>
    <definedName name="P8_T1?unit?ТРУБ" hidden="1">#REF!</definedName>
    <definedName name="P8_T28_Protection">#NAME?</definedName>
    <definedName name="P9_T1?Data" hidden="1">#REF!</definedName>
    <definedName name="P9_T1?unit?ТРУБ" hidden="1">#REF!</definedName>
    <definedName name="P9_T28_Protection">#NAME?</definedName>
    <definedName name="Print_Area">#REF!</definedName>
    <definedName name="q">#NAME?</definedName>
    <definedName name="qr110to10">#NAME?</definedName>
    <definedName name="qr110to35">#NAME?</definedName>
    <definedName name="qr220to10_2">#NAME?</definedName>
    <definedName name="qr220to110">#NAME?</definedName>
    <definedName name="qr220to35">#NAME?</definedName>
    <definedName name="qr35to10">#NAME?</definedName>
    <definedName name="Razd1End">#REF!</definedName>
    <definedName name="Razd1Start">#REF!</definedName>
    <definedName name="Razd2End">#REF!</definedName>
    <definedName name="Razd2Start">#REF!</definedName>
    <definedName name="Razd3Start">#REF!</definedName>
    <definedName name="Razd4End">#REF!</definedName>
    <definedName name="Razd4Start">#REF!</definedName>
    <definedName name="Razd5End">#REF!</definedName>
    <definedName name="Razd5Start">#REF!</definedName>
    <definedName name="Razd6End">#REF!</definedName>
    <definedName name="Razd6Start">#REF!</definedName>
    <definedName name="Razd7End">#REF!</definedName>
    <definedName name="Razd7Start">#REF!</definedName>
    <definedName name="REGIONS">[6]TEHSHEET!$C$6:$C$93</definedName>
    <definedName name="SCENARIOS">[6]TEHSHEET!$K$6:$K$8</definedName>
    <definedName name="SE">#REF!</definedName>
    <definedName name="sencount" hidden="1">1</definedName>
    <definedName name="SF">#REF!</definedName>
    <definedName name="Sheet2?prefix?">"H"</definedName>
    <definedName name="SM">#REF!</definedName>
    <definedName name="T1?Columns">[2]перекрестка!$A$7:$O$7</definedName>
    <definedName name="T1?Scope">[2]перекрестка!$F$8:$O$163</definedName>
    <definedName name="T1_unpr_all">#NAME?</definedName>
    <definedName name="T11?Data">#N/A</definedName>
    <definedName name="T15?Columns">#NAME?</definedName>
    <definedName name="T15?ItemComments">#NAME?</definedName>
    <definedName name="T15?Items">#NAME?</definedName>
    <definedName name="T15?Scope">#NAME?</definedName>
    <definedName name="T15?ВРАС">#NAME?</definedName>
    <definedName name="T15_Change1">#NAME?</definedName>
    <definedName name="T15_Data">#NAME?</definedName>
    <definedName name="T15_Protect">#NAME?</definedName>
    <definedName name="T15_Protected">#NAME?</definedName>
    <definedName name="T15_write1">#NAME?</definedName>
    <definedName name="T16?Columns">#NAME?</definedName>
    <definedName name="T16?ItemComments">#NAME?</definedName>
    <definedName name="T16?Items">#NAME?</definedName>
    <definedName name="T16?Scope">#NAME?</definedName>
    <definedName name="T16?Units">#NAME?</definedName>
    <definedName name="T16_Change1">#NAME?</definedName>
    <definedName name="T16_Data">#NAME?</definedName>
    <definedName name="T17.1?Equipment">#NAME?</definedName>
    <definedName name="T17.1?ItemComments">#NAME?</definedName>
    <definedName name="T17.1?Items">#NAME?</definedName>
    <definedName name="T17.1?Scope">#NAME?</definedName>
    <definedName name="T17.1_Protect">#NAME?</definedName>
    <definedName name="T17?Columns">#NAME?</definedName>
    <definedName name="T17?ItemComments">#NAME?</definedName>
    <definedName name="T17?Items">#NAME?</definedName>
    <definedName name="T17?L7">#NAME?</definedName>
    <definedName name="T17?Scope">#NAME?</definedName>
    <definedName name="T17?unit?ГКАЛЧ">#NAME?</definedName>
    <definedName name="T17?unit?ТРУБ.ГКАЛЧ.МЕС">#NAME?</definedName>
    <definedName name="T17_1_Change1">#NAME?</definedName>
    <definedName name="T18.2?Columns">#NAME?</definedName>
    <definedName name="T18.2?item_ext?СБЫТ">#NAME?</definedName>
    <definedName name="T18.2?ItemComments">#NAME?</definedName>
    <definedName name="T18.2?Items">#NAME?</definedName>
    <definedName name="T18.2?Scope">#NAME?</definedName>
    <definedName name="T18.2?Units">#NAME?</definedName>
    <definedName name="T18.2?ВРАС">#NAME?</definedName>
    <definedName name="T18_2_Change1">#NAME?</definedName>
    <definedName name="T18_2_Data">#NAME?</definedName>
    <definedName name="T18_2_List1">#NAME?</definedName>
    <definedName name="T18_2_List2">#NAME?</definedName>
    <definedName name="T19?Data">#NAME?</definedName>
    <definedName name="T19_Protection">#NAME?</definedName>
    <definedName name="T2.1?Data">#N/A</definedName>
    <definedName name="T2.1_DiapProt">#NAME?</definedName>
    <definedName name="T2.3_Protect">#NAME?</definedName>
    <definedName name="T2?Columns">#NAME?</definedName>
    <definedName name="T2_unpr_all">#NAME?</definedName>
    <definedName name="T20.1?Columns">#NAME?</definedName>
    <definedName name="T20.1?Investments">#NAME?</definedName>
    <definedName name="T20.1?Scope">#NAME?</definedName>
    <definedName name="T20.1_Protect">#NAME?</definedName>
    <definedName name="T20?Columns">#NAME?</definedName>
    <definedName name="T20?ItemComments">#NAME?</definedName>
    <definedName name="T20?Items">#NAME?</definedName>
    <definedName name="T20?Scope">#NAME?</definedName>
    <definedName name="T20?unit?МКВТЧ">#NAME?</definedName>
    <definedName name="T20_Change1">#NAME?</definedName>
    <definedName name="T20_Data">#NAME?</definedName>
    <definedName name="T20_Protect">#NAME?</definedName>
    <definedName name="T21.3?Columns">#NAME?</definedName>
    <definedName name="T21.3?item_ext?СБЫТ">#NAME?</definedName>
    <definedName name="T21.3?ItemComments">#NAME?</definedName>
    <definedName name="T21.3?Items">#NAME?</definedName>
    <definedName name="T21.3?Scope">#NAME?</definedName>
    <definedName name="T21.3?ВРАС">#NAME?</definedName>
    <definedName name="T21.3_Protect">#NAME?</definedName>
    <definedName name="T21?axis?R?ПЭ">#NAME?</definedName>
    <definedName name="T21?axis?R?ПЭ?">#NAME?</definedName>
    <definedName name="T21?Data">#NAME?</definedName>
    <definedName name="T21?L1">#NAME?</definedName>
    <definedName name="T21_3_Change1">#NAME?</definedName>
    <definedName name="T21_3_Data">#NAME?</definedName>
    <definedName name="T21_3_write1">#NAME?</definedName>
    <definedName name="T22?item_ext?ВСЕГО">#NAME?</definedName>
    <definedName name="T22?item_ext?ЭС">#NAME?</definedName>
    <definedName name="T22?L1">#NAME?</definedName>
    <definedName name="T22?L2">#NAME?</definedName>
    <definedName name="T22?unit?ГКАЛ.Ч">#NAME?</definedName>
    <definedName name="T22?unit?ТГКАЛ">#NAME?</definedName>
    <definedName name="T22_Protection">#NAME?</definedName>
    <definedName name="T23?axis?R?ВТОП">#NAME?</definedName>
    <definedName name="T23?axis?R?ВТОП?">#NAME?</definedName>
    <definedName name="T23?axis?R?ПЭ">#NAME?</definedName>
    <definedName name="T23?axis?R?ПЭ?">#NAME?</definedName>
    <definedName name="T23?axis?R?СЦТ">#NAME?</definedName>
    <definedName name="T23?axis?R?СЦТ?">#NAME?</definedName>
    <definedName name="T23?Data">#NAME?</definedName>
    <definedName name="T23?item_ext?ВСЕГО">#NAME?</definedName>
    <definedName name="T23?item_ext?ИТОГО">#NAME?</definedName>
    <definedName name="T23?item_ext?СЦТ">#NAME?</definedName>
    <definedName name="T23_1_Change1">#NAME?</definedName>
    <definedName name="T24?Columns">#NAME?</definedName>
    <definedName name="T24?ItemComments">#NAME?</definedName>
    <definedName name="T24?Items">#NAME?</definedName>
    <definedName name="T24?Scope">#NAME?</definedName>
    <definedName name="T24?Units">#NAME?</definedName>
    <definedName name="T24?НАП">#NAME?</definedName>
    <definedName name="T24_Data">#NAME?</definedName>
    <definedName name="T24_Protection">#NAME?</definedName>
    <definedName name="T25?Columns">#NAME?</definedName>
    <definedName name="T25?ItemComments">#NAME?</definedName>
    <definedName name="T25?Items">#NAME?</definedName>
    <definedName name="T25?Scope">#NAME?</definedName>
    <definedName name="T25?Units">#NAME?</definedName>
    <definedName name="T25?НАП">#NAME?</definedName>
    <definedName name="T25_Data">#NAME?</definedName>
    <definedName name="T25_Protect">#NAME?</definedName>
    <definedName name="T26?axis?R?ВРАС">#NAME?</definedName>
    <definedName name="T26?axis?R?ВРАС?">#NAME?</definedName>
    <definedName name="T26?L1">#NAME?</definedName>
    <definedName name="T26?L1.1">#NAME?</definedName>
    <definedName name="T26?L2">#NAME?</definedName>
    <definedName name="T26?L2.1">#NAME?</definedName>
    <definedName name="T26?L3">#NAME?</definedName>
    <definedName name="T26?L4">#NAME?</definedName>
    <definedName name="T26?L5">#NAME?</definedName>
    <definedName name="T26?L5.1">#NAME?</definedName>
    <definedName name="T26?L5.2">#NAME?</definedName>
    <definedName name="T26?L5.3">#NAME?</definedName>
    <definedName name="T26?L5.3.x">#NAME?</definedName>
    <definedName name="T26?L6">#NAME?</definedName>
    <definedName name="T26?L7">#NAME?</definedName>
    <definedName name="T26?L7.1">#NAME?</definedName>
    <definedName name="T26?L7.2">#NAME?</definedName>
    <definedName name="T26?L7.3">#NAME?</definedName>
    <definedName name="T26?L7.4">#NAME?</definedName>
    <definedName name="T26?L7.4.x">#NAME?</definedName>
    <definedName name="T26?L8">#NAME?</definedName>
    <definedName name="T27?axis?R?ВРАС">#NAME?</definedName>
    <definedName name="T27?axis?R?ВРАС?">#NAME?</definedName>
    <definedName name="T27?Items">#NAME?</definedName>
    <definedName name="T27?L1.1">#NAME?</definedName>
    <definedName name="T27?L2.1">#NAME?</definedName>
    <definedName name="T27?L5.3">#NAME?</definedName>
    <definedName name="T27?L5.3.x">#NAME?</definedName>
    <definedName name="T27?L7">#NAME?</definedName>
    <definedName name="T27?L7.1">#NAME?</definedName>
    <definedName name="T27?L7.2">#NAME?</definedName>
    <definedName name="T27?L7.3">#NAME?</definedName>
    <definedName name="T27?L7.4">#NAME?</definedName>
    <definedName name="T27?L7.4.x">#NAME?</definedName>
    <definedName name="T27?L8">#NAME?</definedName>
    <definedName name="T27?Scope">#NAME?</definedName>
    <definedName name="T27?НАП">#NAME?</definedName>
    <definedName name="T27?ПОТ">#NAME?</definedName>
    <definedName name="T27_Protect">#NAME?</definedName>
    <definedName name="T28?item_ext?ВСЕГО">#NAME?</definedName>
    <definedName name="T28?item_ext?ТЭ">#NAME?</definedName>
    <definedName name="T28?item_ext?ЭЭ">#NAME?</definedName>
    <definedName name="T28?L1.1.x">#NAME?</definedName>
    <definedName name="T28?L10.1.x">#NAME?</definedName>
    <definedName name="T28?L11.1.x">#NAME?</definedName>
    <definedName name="T28?L2.1.x">#NAME?</definedName>
    <definedName name="T28?L3.1.x">#NAME?</definedName>
    <definedName name="T28?L4.1.x">#NAME?</definedName>
    <definedName name="T28?L5.1.x">#NAME?</definedName>
    <definedName name="T28?L6.1.x">#NAME?</definedName>
    <definedName name="T28?L7.1.x">#NAME?</definedName>
    <definedName name="T28?L8.1.x">#NAME?</definedName>
    <definedName name="T28?L9.1.x">#NAME?</definedName>
    <definedName name="T28?unit?ГКАЛЧ">#NAME?</definedName>
    <definedName name="T28?unit?МКВТЧ">#NAME?</definedName>
    <definedName name="T28?unit?РУБ.ГКАЛ">#NAME?</definedName>
    <definedName name="T28?unit?РУБ.ГКАЛЧ.МЕС">#NAME?</definedName>
    <definedName name="T28?unit?РУБ.ТКВТ.МЕС">#NAME?</definedName>
    <definedName name="T28?unit?РУБ.ТКВТЧ">#NAME?</definedName>
    <definedName name="T28?unit?ТГКАЛ">#NAME?</definedName>
    <definedName name="T28?unit?ТКВТ">#NAME?</definedName>
    <definedName name="T28?unit?ТРУБ">#NAME?</definedName>
    <definedName name="T3?ItemComments">#NAME?</definedName>
    <definedName name="T3?Items">#NAME?</definedName>
    <definedName name="T3?Scope">#NAME?</definedName>
    <definedName name="T3?НАП">#NAME?</definedName>
    <definedName name="T3_unpr_all">#NAME?</definedName>
    <definedName name="T4?Columns">#NAME?</definedName>
    <definedName name="T4?ItemComments">#NAME?</definedName>
    <definedName name="T4?Items">#NAME?</definedName>
    <definedName name="T4?Scope">#NAME?</definedName>
    <definedName name="T4?Units">#NAME?</definedName>
    <definedName name="T4?НАП">#NAME?</definedName>
    <definedName name="T4_Change1">#NAME?</definedName>
    <definedName name="T4_Change2">#NAME?</definedName>
    <definedName name="T4_Change3">#NAME?</definedName>
    <definedName name="T4_Change4">#NAME?</definedName>
    <definedName name="T4_Data">#NAME?</definedName>
    <definedName name="T4_Protected">#NAME?</definedName>
    <definedName name="T4_unpr_all">#NAME?</definedName>
    <definedName name="T4_write1">#NAME?</definedName>
    <definedName name="T4_write2">#NAME?</definedName>
    <definedName name="T4_write3">#NAME?</definedName>
    <definedName name="T4_write4">#NAME?</definedName>
    <definedName name="T4_write5">#NAME?</definedName>
    <definedName name="T5?Columns">#NAME?</definedName>
    <definedName name="T5?ItemComments">#NAME?</definedName>
    <definedName name="T5?Items">#NAME?</definedName>
    <definedName name="T5?Scope">#NAME?</definedName>
    <definedName name="T5?Units">#NAME?</definedName>
    <definedName name="T5_Change1">#NAME?</definedName>
    <definedName name="T5_Change2">#NAME?</definedName>
    <definedName name="T5_Change3">#NAME?</definedName>
    <definedName name="T5_Change4">#NAME?</definedName>
    <definedName name="T5_Data">#NAME?</definedName>
    <definedName name="T5_Protected">#NAME?</definedName>
    <definedName name="T6?Columns">#NAME?</definedName>
    <definedName name="T6?FirstYear">#NAME?</definedName>
    <definedName name="T6?Scope">#NAME?</definedName>
    <definedName name="T6?НАП">#NAME?</definedName>
    <definedName name="T6?ПОТ">#NAME?</definedName>
    <definedName name="T7?Data">#N/A</definedName>
    <definedName name="tavrich">[4]таврическая!$A$4:$G$31</definedName>
    <definedName name="TP2.1?Columns">[2]P2.1!$A$6:$H$6</definedName>
    <definedName name="TP2.1?Scope">[2]P2.1!$F$7:$H$44</definedName>
    <definedName name="TP2.2?Columns">[2]P2.2!$A$6:$H$6</definedName>
    <definedName name="TP2.2?Scope">[2]P2.2!$F$7:$H$51</definedName>
    <definedName name="vTCZW">[7]справочник!$A$1:$A$13</definedName>
    <definedName name="w">#NAME?</definedName>
    <definedName name="XLRPARAMS_CENTRE" hidden="1">"не задано"</definedName>
    <definedName name="XLRPARAMS_CONNECTION" hidden="1">"не задано"</definedName>
    <definedName name="XLRPARAMS_CONTRAGENT" hidden="1">"не задано"</definedName>
    <definedName name="XLRPARAMS_DATE" hidden="1">" 29.08.2013"</definedName>
    <definedName name="XLRPARAMS_DISTR" hidden="1">"КЭС Сухобузимский РЭС"</definedName>
    <definedName name="XLRPARAMS_DISTRICT" hidden="1">"БЭС Кабанский"</definedName>
    <definedName name="XLRPARAMS_DISTRICTNAME" hidden="1">"ЮЭС Прокопьевский РЭС"</definedName>
    <definedName name="XLRPARAMS_NAME" hidden="1">"Обходной листок по дог. 8946 barкод"</definedName>
    <definedName name="XLRPARAMS_PARAMSTR" hidden="1">", по подразделению БЭС Кабанский,  за период с 01.01.2013 по 31.01.2013"</definedName>
    <definedName name="XLRPARAMS_PERIOD" hidden="1">"за февраль 2013"</definedName>
    <definedName name="XLRPARAMS_PERIOD1STR" hidden="1">41456</definedName>
    <definedName name="XLRPARAMS_PERIOD2STR" hidden="1">41456</definedName>
    <definedName name="XLRPARAMS_PeriodName" hidden="1">[8]XLR_NoRangeSheet!$B$6</definedName>
    <definedName name="XLRPARAMS_PERIODSTR" hidden="1">"за март 2013"</definedName>
    <definedName name="XLRPARAMS_PROGRAMID" hidden="1">"физические лица"</definedName>
    <definedName name="XLRPARAMS_PS" hidden="1">"Нерчинск 110/35/10/6кВ"</definedName>
    <definedName name="XLRPARAMS_REPORT2553" hidden="1">"учитывая точки поставки, по диапазону напряжения"</definedName>
    <definedName name="XLRPARAMS_REPORTDATE" hidden="1">" 10.04.2013"</definedName>
    <definedName name="XLRPARAMS_RES" hidden="1">"Восточные электрические сети/ Нерчинский РЭС"</definedName>
    <definedName name="XLRPARAMS_RSK" hidden="1">"Читаэнерго"</definedName>
    <definedName name="XLRPARAMS_STREET" hidden="1">"не задано"</definedName>
    <definedName name="XLRPARAMS_WITHPHYS" hidden="1">"False"</definedName>
    <definedName name="y">#NAME?</definedName>
    <definedName name="z">#NAME?</definedName>
    <definedName name="АААААААА">#NAME?</definedName>
    <definedName name="апрель">#NAME?</definedName>
    <definedName name="БазовыйПериод">[2]Заголовок!$B$15</definedName>
    <definedName name="в23ё">#NAME?</definedName>
    <definedName name="вв">#NAME?</definedName>
    <definedName name="Вид_деятельности">#NAME?</definedName>
    <definedName name="ВЫР">#NAME?</definedName>
    <definedName name="ДатаТекст">#NAME?</definedName>
    <definedName name="й">#NAME?</definedName>
    <definedName name="йй">#NAME?</definedName>
    <definedName name="ке">#NAME?</definedName>
    <definedName name="ктр">#NAME?</definedName>
    <definedName name="Курс_USD">28.47</definedName>
    <definedName name="Лист1?prefix?">"T1"</definedName>
    <definedName name="Лист10?prefix?">"T17.1"</definedName>
    <definedName name="Лист11?prefix?">"T4.6"</definedName>
    <definedName name="Лист12?prefix?">"T4.7"</definedName>
    <definedName name="Лист13?prefix?">"T4.8"</definedName>
    <definedName name="Лист14?prefix?">"T107"</definedName>
    <definedName name="Лист15?prefix?">"T4.10"</definedName>
    <definedName name="Лист16?prefix?">"T4.11"</definedName>
    <definedName name="Лист17?prefix?">"T4.12"</definedName>
    <definedName name="Лист19?prefix?">"T21.3"</definedName>
    <definedName name="Лист2?prefix?">"T2"</definedName>
    <definedName name="Лист21?prefix?">"T108"</definedName>
    <definedName name="Лист3?prefix?">"T3"</definedName>
    <definedName name="Лист4?prefix?">"T2.1"</definedName>
    <definedName name="Лист5?prefix?">"T4"</definedName>
    <definedName name="Лист6?prefix?">"T6"</definedName>
    <definedName name="Лист7?prefix?">"T6"</definedName>
    <definedName name="Лист8?prefix?">"T7"</definedName>
    <definedName name="Лист9?prefix?">"T8"</definedName>
    <definedName name="мДата">[9]Настройки!$B$8</definedName>
    <definedName name="мрскввц">#NAME?</definedName>
    <definedName name="мым">#NAME?</definedName>
    <definedName name="НБд">#NAME?</definedName>
    <definedName name="НСРФ">[10]Регионы!$A$2:$A$88</definedName>
    <definedName name="НСРФ2">[11]Регионы!$A$2:$A$89</definedName>
    <definedName name="о_165">#REF!</definedName>
    <definedName name="о_166">#REF!</definedName>
    <definedName name="о_167">#REF!</definedName>
    <definedName name="о_168">#REF!</definedName>
    <definedName name="о_170">#REF!</definedName>
    <definedName name="о_171">#REF!</definedName>
    <definedName name="о_224">#REF!</definedName>
    <definedName name="о_225">#REF!</definedName>
    <definedName name="о_235">#REF!</definedName>
    <definedName name="о_236">#REF!</definedName>
    <definedName name="о_249">#REF!</definedName>
    <definedName name="о_250">#REF!</definedName>
    <definedName name="о_251">#REF!</definedName>
    <definedName name="о_252">#REF!</definedName>
    <definedName name="о_531">#REF!</definedName>
    <definedName name="о_532">#REF!</definedName>
    <definedName name="о_533">#REF!</definedName>
    <definedName name="о_553">#REF!</definedName>
    <definedName name="о_555i">#REF!</definedName>
    <definedName name="о_556">[4]таврическая!$G$7</definedName>
    <definedName name="о_557">[4]таврическая!$G$9</definedName>
    <definedName name="о_мв10ат1i">#REF!</definedName>
    <definedName name="о_мв10ат2i">#REF!</definedName>
    <definedName name="о_шсов220">[4]иртышская!$G$18</definedName>
    <definedName name="ОТДАЧА">#NAME?</definedName>
    <definedName name="Отдача_ГРУ">#NAME?</definedName>
    <definedName name="Отдача110">#NAME?</definedName>
    <definedName name="ОтпВСеть">#REF!</definedName>
    <definedName name="п_165">#REF!</definedName>
    <definedName name="п_166">#REF!</definedName>
    <definedName name="п_167">#REF!</definedName>
    <definedName name="п_168">#REF!</definedName>
    <definedName name="п_170">#REF!</definedName>
    <definedName name="п_171">#REF!</definedName>
    <definedName name="п_224">#REF!</definedName>
    <definedName name="п_225">#REF!</definedName>
    <definedName name="п_235">#REF!</definedName>
    <definedName name="п_236">#REF!</definedName>
    <definedName name="п_249">#REF!</definedName>
    <definedName name="п_250">#REF!</definedName>
    <definedName name="п_251">#REF!</definedName>
    <definedName name="п_252">#REF!</definedName>
    <definedName name="п_531">#REF!</definedName>
    <definedName name="п_532">#REF!</definedName>
    <definedName name="п_533">#REF!</definedName>
    <definedName name="п_553">#REF!</definedName>
    <definedName name="п_555i">#REF!</definedName>
    <definedName name="п_556">[4]таврическая!$G$6</definedName>
    <definedName name="п_557">[4]таврическая!$G$8</definedName>
    <definedName name="п_в15ат1">#REF!</definedName>
    <definedName name="п_в15ат2">#REF!</definedName>
    <definedName name="п_мв10ат1i">#REF!</definedName>
    <definedName name="п_мв10ат2i">#REF!</definedName>
    <definedName name="п_ф6">#REF!</definedName>
    <definedName name="п_ф9">#REF!</definedName>
    <definedName name="п_шсов220">[4]иртышская!$G$17</definedName>
    <definedName name="ПериодРегулирования">[2]Заголовок!$B$14</definedName>
    <definedName name="Периоды_18_2">#NAME?</definedName>
    <definedName name="ПоследнийГод">[2]Заголовок!$B$16</definedName>
    <definedName name="Потери">#REF!</definedName>
    <definedName name="Потери110">#REF!</definedName>
    <definedName name="Потери6">#REF!</definedName>
    <definedName name="ПотериРУ">#REF!</definedName>
    <definedName name="ПотериТР">#REF!</definedName>
    <definedName name="ПотериТРСН">#REF!</definedName>
    <definedName name="ППЖТ">#NAME?</definedName>
    <definedName name="ПРИЕМ">#NAME?</definedName>
    <definedName name="Прием110">#NAME?</definedName>
    <definedName name="признак">#REF!</definedName>
    <definedName name="ПРИХОД">#NAME?</definedName>
    <definedName name="ПрНуж">#NAME?</definedName>
    <definedName name="РГК">#NAME?</definedName>
    <definedName name="с">#NAME?</definedName>
    <definedName name="Свод">#NAME?</definedName>
    <definedName name="Сводная">#NAME?</definedName>
    <definedName name="СН">#NAME?</definedName>
    <definedName name="СН_Б">[4]сибирь!$H$16</definedName>
    <definedName name="СН_З">#REF!</definedName>
    <definedName name="СН_И">#REF!</definedName>
    <definedName name="СН_С">#REF!</definedName>
    <definedName name="СН_Т">#NAME?</definedName>
    <definedName name="сс">#NAME?</definedName>
    <definedName name="сссс">#NAME?</definedName>
    <definedName name="ссы">#NAME?</definedName>
    <definedName name="ссы2">#NAME?</definedName>
    <definedName name="Ставка_ЕСН">0.26</definedName>
    <definedName name="у">#NAME?</definedName>
    <definedName name="удм">#NAME?</definedName>
    <definedName name="ук">#NAME?</definedName>
    <definedName name="Филиал">#NAME?</definedName>
    <definedName name="ФСН">#NAME?</definedName>
    <definedName name="ФЦН1">#NAME?</definedName>
    <definedName name="ФЦН2">#NAME?</definedName>
    <definedName name="ХН">#NAME?</definedName>
    <definedName name="ц">#NAME?</definedName>
    <definedName name="цу">#NAME?</definedName>
    <definedName name="ы11">#NAME?</definedName>
    <definedName name="ыв">#NAME?</definedName>
    <definedName name="ыыыы">#NAME?</definedName>
  </definedNames>
  <calcPr calcId="162913"/>
  <fileRecoveryPr repairLoad="1"/>
</workbook>
</file>

<file path=xl/calcChain.xml><?xml version="1.0" encoding="utf-8"?>
<calcChain xmlns="http://schemas.openxmlformats.org/spreadsheetml/2006/main">
  <c r="D790" i="3" l="1"/>
  <c r="D789" i="3"/>
  <c r="D788" i="3"/>
  <c r="D787" i="3"/>
  <c r="D786" i="3"/>
  <c r="D785" i="3"/>
  <c r="D784" i="3"/>
  <c r="D783" i="3"/>
  <c r="D782" i="3"/>
  <c r="D781" i="3"/>
  <c r="D780" i="3"/>
  <c r="D779" i="3"/>
  <c r="D778" i="3"/>
  <c r="D777" i="3"/>
  <c r="D776" i="3"/>
  <c r="D775" i="3"/>
  <c r="D774" i="3"/>
  <c r="D773" i="3"/>
  <c r="D772" i="3"/>
  <c r="D771" i="3"/>
  <c r="D770" i="3"/>
  <c r="D769" i="3"/>
  <c r="D768" i="3"/>
  <c r="D767" i="3"/>
  <c r="D766" i="3"/>
  <c r="D765" i="3"/>
  <c r="D764" i="3"/>
  <c r="D763" i="3"/>
  <c r="D762" i="3"/>
  <c r="D761" i="3"/>
  <c r="D760" i="3"/>
  <c r="D759" i="3"/>
  <c r="D758" i="3"/>
  <c r="D757" i="3"/>
  <c r="D756" i="3"/>
  <c r="D755" i="3"/>
  <c r="D754" i="3"/>
  <c r="D753" i="3"/>
  <c r="D752" i="3"/>
  <c r="D751" i="3"/>
  <c r="D750" i="3"/>
  <c r="D749" i="3"/>
  <c r="D748" i="3"/>
  <c r="D747" i="3"/>
  <c r="D746" i="3"/>
  <c r="D745" i="3"/>
  <c r="D744" i="3"/>
  <c r="D743" i="3"/>
  <c r="D742" i="3"/>
  <c r="D741" i="3"/>
  <c r="D740" i="3"/>
  <c r="D739" i="3"/>
  <c r="D738" i="3"/>
  <c r="D737" i="3"/>
  <c r="D736" i="3"/>
  <c r="D735" i="3"/>
  <c r="D734" i="3"/>
  <c r="D733" i="3"/>
  <c r="D732" i="3"/>
  <c r="D731" i="3"/>
  <c r="D730" i="3"/>
  <c r="D729" i="3"/>
  <c r="D728" i="3"/>
  <c r="D727" i="3"/>
  <c r="D726" i="3"/>
  <c r="D725" i="3"/>
  <c r="D724" i="3"/>
  <c r="D723" i="3"/>
  <c r="D722" i="3"/>
  <c r="D721" i="3"/>
  <c r="D720" i="3"/>
  <c r="D719" i="3"/>
  <c r="D718" i="3"/>
  <c r="D717" i="3"/>
  <c r="D716" i="3"/>
  <c r="D715" i="3"/>
  <c r="D714" i="3"/>
  <c r="D713" i="3"/>
  <c r="D712" i="3"/>
  <c r="D711" i="3"/>
  <c r="D710" i="3"/>
  <c r="D709" i="3"/>
  <c r="D708" i="3"/>
  <c r="D707" i="3"/>
  <c r="D706" i="3"/>
  <c r="D705" i="3"/>
  <c r="D704" i="3"/>
  <c r="D703" i="3"/>
  <c r="D702" i="3"/>
  <c r="D701" i="3"/>
  <c r="D700" i="3"/>
  <c r="D699" i="3"/>
  <c r="D698" i="3"/>
  <c r="D697" i="3"/>
  <c r="D696" i="3"/>
  <c r="D695" i="3"/>
  <c r="D694" i="3"/>
  <c r="D693" i="3"/>
  <c r="D692" i="3"/>
  <c r="D691" i="3"/>
  <c r="D690" i="3"/>
  <c r="D689" i="3"/>
  <c r="D688" i="3"/>
  <c r="D687" i="3"/>
  <c r="D686" i="3"/>
  <c r="D685" i="3"/>
  <c r="D684" i="3"/>
  <c r="D683" i="3"/>
  <c r="D682" i="3"/>
  <c r="D681" i="3"/>
  <c r="D680" i="3"/>
  <c r="D679" i="3"/>
  <c r="D678" i="3"/>
  <c r="D677" i="3"/>
  <c r="D676" i="3"/>
  <c r="D675" i="3"/>
  <c r="D674" i="3"/>
  <c r="D673" i="3"/>
  <c r="D672" i="3"/>
  <c r="D671" i="3"/>
  <c r="D670" i="3"/>
  <c r="D66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comments1.xml><?xml version="1.0" encoding="utf-8"?>
<comments xmlns="http://schemas.openxmlformats.org/spreadsheetml/2006/main">
  <authors>
    <author>tc={8BC4477F-C191-7B79-13F7-E61EBA1AB064}</author>
  </authors>
  <commentList>
    <comment ref="H183" authorId="0" shapeId="0">
      <text>
        <r>
          <rPr>
            <b/>
            <sz val="9"/>
            <rFont val="Tahoma"/>
            <family val="2"/>
            <charset val="204"/>
          </rPr>
          <t>Хасанова Мария Эльбрусовна:</t>
        </r>
        <r>
          <rPr>
            <sz val="9"/>
            <rFont val="Tahoma"/>
            <family val="2"/>
            <charset val="204"/>
          </rPr>
          <t xml:space="preserve">
Ижевские электрические сети
</t>
        </r>
      </text>
    </comment>
  </commentList>
</comments>
</file>

<file path=xl/connections.xml><?xml version="1.0" encoding="utf-8"?>
<connections xmlns="http://schemas.openxmlformats.org/spreadsheetml/2006/main">
  <connection id="1" keepAlive="1" name="Запрос — 1" description="Соединение с запросом &quot;1&quot; в книге." type="5" refreshedVersion="6" background="1" saveData="1">
    <dbPr connection="Provider=Microsoft.Mashup.OleDb.1;Data Source=$Workbook$;Location=1;Extended Properties=&quot;&quot;" command="SELECT * FROM [1]"/>
  </connection>
</connections>
</file>

<file path=xl/sharedStrings.xml><?xml version="1.0" encoding="utf-8"?>
<sst xmlns="http://schemas.openxmlformats.org/spreadsheetml/2006/main" count="2476" uniqueCount="308">
  <si>
    <t>Общество</t>
  </si>
  <si>
    <t>Филиал</t>
  </si>
  <si>
    <t>РЭС</t>
  </si>
  <si>
    <t>Абоненский номер</t>
  </si>
  <si>
    <t>IMEI</t>
  </si>
  <si>
    <t>Наличие ПО на МУ</t>
  </si>
  <si>
    <t>ФИО начальника РЭС</t>
  </si>
  <si>
    <t>Номер телефона</t>
  </si>
  <si>
    <t>ФИО ГИ РЭС</t>
  </si>
  <si>
    <t>Центр</t>
  </si>
  <si>
    <t>Белгородэнерго</t>
  </si>
  <si>
    <t>Белгородские электрические сети</t>
  </si>
  <si>
    <t>9155209202</t>
  </si>
  <si>
    <t>Белгородский</t>
  </si>
  <si>
    <t>9155201469</t>
  </si>
  <si>
    <t>Борисовский</t>
  </si>
  <si>
    <t>9107362214</t>
  </si>
  <si>
    <t>Валуйский</t>
  </si>
  <si>
    <t>9155202154</t>
  </si>
  <si>
    <t>Яковлевский</t>
  </si>
  <si>
    <t>9155203044</t>
  </si>
  <si>
    <t>Прохоровский</t>
  </si>
  <si>
    <t>9803708255</t>
  </si>
  <si>
    <t>Ракитянский</t>
  </si>
  <si>
    <t>9155200551</t>
  </si>
  <si>
    <t>Алексеевский</t>
  </si>
  <si>
    <t>9155200553</t>
  </si>
  <si>
    <t>Губкинский</t>
  </si>
  <si>
    <t>9803709156</t>
  </si>
  <si>
    <t>Новооскольский</t>
  </si>
  <si>
    <t>9155209179</t>
  </si>
  <si>
    <t>Ивнянский</t>
  </si>
  <si>
    <t>9155200226</t>
  </si>
  <si>
    <t>Чернянский</t>
  </si>
  <si>
    <t>9803708550</t>
  </si>
  <si>
    <t>Красненский</t>
  </si>
  <si>
    <t>9155200447</t>
  </si>
  <si>
    <t>Брянскэнерго</t>
  </si>
  <si>
    <t>Брянский</t>
  </si>
  <si>
    <t>Выгоничский</t>
  </si>
  <si>
    <t>Стародубский</t>
  </si>
  <si>
    <t>Почепский</t>
  </si>
  <si>
    <t>ЦИП</t>
  </si>
  <si>
    <t>Владимирэнерго</t>
  </si>
  <si>
    <t>Суздальский</t>
  </si>
  <si>
    <t xml:space="preserve"> 
9106700552 
9106700553
9106700554
9106700558</t>
  </si>
  <si>
    <t>Судогодский</t>
  </si>
  <si>
    <t xml:space="preserve"> 
9106700443
9106700445
9106700449</t>
  </si>
  <si>
    <t>Александровский</t>
  </si>
  <si>
    <t xml:space="preserve">
9106700098
9106700112
9106700113
9190021136
9190021131
9101702541</t>
  </si>
  <si>
    <t>Киржачский</t>
  </si>
  <si>
    <t xml:space="preserve">
9106700092
9157600294</t>
  </si>
  <si>
    <t>Гороховецкий</t>
  </si>
  <si>
    <t xml:space="preserve">
9106700668
9106700771
9106700772</t>
  </si>
  <si>
    <t>Камешковский</t>
  </si>
  <si>
    <t xml:space="preserve">
9106700119
9106700217
9106700224</t>
  </si>
  <si>
    <t>Петушинский</t>
  </si>
  <si>
    <t xml:space="preserve">
9106700225
9106700441</t>
  </si>
  <si>
    <t>Юрьев-Польский</t>
  </si>
  <si>
    <t xml:space="preserve">
9106700114
9106700115
9106700118</t>
  </si>
  <si>
    <t>Гусевской</t>
  </si>
  <si>
    <t xml:space="preserve">
9106700043
9106700045
9106700035
9106700091</t>
  </si>
  <si>
    <t>Собинский</t>
  </si>
  <si>
    <t xml:space="preserve">
9106700025
9106700041
9106700052
9106700053
9106700083
9106700084
9106700085</t>
  </si>
  <si>
    <t>Муромский</t>
  </si>
  <si>
    <t xml:space="preserve">
9106700884
9106700885
9106700992</t>
  </si>
  <si>
    <t>Вязниковский</t>
  </si>
  <si>
    <t xml:space="preserve">
9106700559
9106700661
9106700662
9106700663
9106700664</t>
  </si>
  <si>
    <t>Ковровский</t>
  </si>
  <si>
    <t xml:space="preserve">
9106700038
9106700093</t>
  </si>
  <si>
    <t>Селивановский</t>
  </si>
  <si>
    <t xml:space="preserve">
9106700994
9106700995
9106700998</t>
  </si>
  <si>
    <t>Меленковский</t>
  </si>
  <si>
    <t xml:space="preserve">
9106700775
9106700779
9106700828
9106700881</t>
  </si>
  <si>
    <t>Кольчугинский</t>
  </si>
  <si>
    <t xml:space="preserve">
9106700028
9157600315</t>
  </si>
  <si>
    <t>Воронежэнерго</t>
  </si>
  <si>
    <t>Рамонский</t>
  </si>
  <si>
    <t>9155807374
9155807358</t>
  </si>
  <si>
    <t>Новоусманский</t>
  </si>
  <si>
    <t>9192421569
9805401279</t>
  </si>
  <si>
    <t>Хохольский</t>
  </si>
  <si>
    <t>9102401708
9102400789</t>
  </si>
  <si>
    <t>Семилукский</t>
  </si>
  <si>
    <t>9191834597
9102800261</t>
  </si>
  <si>
    <t>Лискинский</t>
  </si>
  <si>
    <t>9102401550
9102400946</t>
  </si>
  <si>
    <t>Ивэнерго</t>
  </si>
  <si>
    <t>Ивановский</t>
  </si>
  <si>
    <t>Калугаэнерго</t>
  </si>
  <si>
    <t>Кондровский</t>
  </si>
  <si>
    <t>79158906767
79158904343
79158904818
79158900882
79158900446</t>
  </si>
  <si>
    <t>Приокский</t>
  </si>
  <si>
    <t>79158900037
79158900332
79158900334
79158900027
79158900021</t>
  </si>
  <si>
    <t>Боровский</t>
  </si>
  <si>
    <t>79158901818
79158902121
79158902929
79158902424
79158903362
79158900071</t>
  </si>
  <si>
    <t>Тарусский</t>
  </si>
  <si>
    <t>79158900335
79158900442
79158900331
79158902323</t>
  </si>
  <si>
    <t>Жуковский</t>
  </si>
  <si>
    <t>79158906464
79158900994
79158904655
79158901919</t>
  </si>
  <si>
    <t>Малоярославецкий</t>
  </si>
  <si>
    <t>79158904598
79158903737
79158903579
79158900053</t>
  </si>
  <si>
    <t>Мещовский</t>
  </si>
  <si>
    <t>79158904866
79158903416
79158900884</t>
  </si>
  <si>
    <t>Бабынинский</t>
  </si>
  <si>
    <t>79158904568
79105205796
79158900051</t>
  </si>
  <si>
    <t>Кировэнерго</t>
  </si>
  <si>
    <t>Юрьянский</t>
  </si>
  <si>
    <t>Советский</t>
  </si>
  <si>
    <t>Оричевский</t>
  </si>
  <si>
    <t>Слободской</t>
  </si>
  <si>
    <t>Костромаэнерго</t>
  </si>
  <si>
    <t>Нерехтский</t>
  </si>
  <si>
    <t>Красносельский</t>
  </si>
  <si>
    <t>Судиславский</t>
  </si>
  <si>
    <t>Курскэнерго</t>
  </si>
  <si>
    <t>Курский</t>
  </si>
  <si>
    <t>Курчатовский</t>
  </si>
  <si>
    <t>Золотухинский</t>
  </si>
  <si>
    <t>Липецкэнерго</t>
  </si>
  <si>
    <t>Грязинский</t>
  </si>
  <si>
    <t>Задонский</t>
  </si>
  <si>
    <t>Номера нет, синхронизируются через сеть wi-fi</t>
  </si>
  <si>
    <t>Липецкий</t>
  </si>
  <si>
    <t>Лебедянский</t>
  </si>
  <si>
    <t>Мариэнерго</t>
  </si>
  <si>
    <t>Семеновский</t>
  </si>
  <si>
    <t>89177003540
89177003560</t>
  </si>
  <si>
    <t>Параньгинский</t>
  </si>
  <si>
    <t>89177003589
89177003568</t>
  </si>
  <si>
    <t>Волжский</t>
  </si>
  <si>
    <t>89177002975
89177003140</t>
  </si>
  <si>
    <t>Оршанский</t>
  </si>
  <si>
    <t>89177003228
89177003317</t>
  </si>
  <si>
    <t>Нижновэнерго</t>
  </si>
  <si>
    <t>Арзамасский</t>
  </si>
  <si>
    <t>79302916107
79306895432</t>
  </si>
  <si>
    <t>Городецкий</t>
  </si>
  <si>
    <t>Дивеевский</t>
  </si>
  <si>
    <t>79087376955
79524712236</t>
  </si>
  <si>
    <t>Богородский</t>
  </si>
  <si>
    <t>79306895891
79306896671</t>
  </si>
  <si>
    <t>Борский</t>
  </si>
  <si>
    <t>79306896978
79306897062</t>
  </si>
  <si>
    <t>Орелэнерго</t>
  </si>
  <si>
    <t>Орловский</t>
  </si>
  <si>
    <t>+79100200141                                                              +79100200140</t>
  </si>
  <si>
    <t>Мценский</t>
  </si>
  <si>
    <t>+79100200145                                                               +79807618228</t>
  </si>
  <si>
    <t>Рязаньэнерго</t>
  </si>
  <si>
    <t>Рязанский</t>
  </si>
  <si>
    <t>9105626477
9105626328</t>
  </si>
  <si>
    <t>Глимаков Степан Сергеевич</t>
  </si>
  <si>
    <t>Шиловский</t>
  </si>
  <si>
    <t>9105626464
9105626382</t>
  </si>
  <si>
    <t>Галичкин Андрей Викторович &lt;galichkin.av@rz.mrsk-cp.ru&gt;</t>
  </si>
  <si>
    <t>Спасский</t>
  </si>
  <si>
    <t>9105626432
9105626358</t>
  </si>
  <si>
    <t>Зыбин Константин Михайлович</t>
  </si>
  <si>
    <t>Михайловский</t>
  </si>
  <si>
    <t>9105626349
9105626409</t>
  </si>
  <si>
    <t>Попов Денис Юрьевич &lt;popov.dy@rz.mrsk-cp.ru&gt;</t>
  </si>
  <si>
    <t>Смоленскэнерго</t>
  </si>
  <si>
    <t>Смоленский</t>
  </si>
  <si>
    <t>Кардымовский</t>
  </si>
  <si>
    <t>Ярцевский</t>
  </si>
  <si>
    <t>Вяземский</t>
  </si>
  <si>
    <t>Тамбовэнерго</t>
  </si>
  <si>
    <t>Тамбовский</t>
  </si>
  <si>
    <t>Новиков Андрей Николаевич</t>
  </si>
  <si>
    <t>+7 (915) 889-29-13</t>
  </si>
  <si>
    <t>Рассказовский</t>
  </si>
  <si>
    <t>Давидович Александр Викторович</t>
  </si>
  <si>
    <t>+7 (910) 653-75-90</t>
  </si>
  <si>
    <t>Тверьэнерго</t>
  </si>
  <si>
    <t>Калининский</t>
  </si>
  <si>
    <t>Кузнецов Максим Юрьевич</t>
  </si>
  <si>
    <t>+7 (980) 639-59-20</t>
  </si>
  <si>
    <t>Тулэнерго</t>
  </si>
  <si>
    <t>Ясногорский</t>
  </si>
  <si>
    <t>8 (906)535 3057</t>
  </si>
  <si>
    <t>Сечин Алексей Юрьевич</t>
  </si>
  <si>
    <t>+7 (919) 260-36-72</t>
  </si>
  <si>
    <t>Щекинский</t>
  </si>
  <si>
    <t>8 (905) 119 3441</t>
  </si>
  <si>
    <t>Назаров Юрий Михайлович</t>
  </si>
  <si>
    <t>+7 (962) 279-20-60</t>
  </si>
  <si>
    <t>Ленинский</t>
  </si>
  <si>
    <t>8 (905) 189 0032</t>
  </si>
  <si>
    <t>Ребрищев Николай Александрович</t>
  </si>
  <si>
    <t>+7 (960) 615-95-91</t>
  </si>
  <si>
    <t>Для ДКиТАСУ филиала</t>
  </si>
  <si>
    <t xml:space="preserve">8 (905) 189 0097 </t>
  </si>
  <si>
    <t>Удмуртэнерго</t>
  </si>
  <si>
    <t>Завьяловский</t>
  </si>
  <si>
    <t>8-912-053-04-80
8-982-120-03-92</t>
  </si>
  <si>
    <t>Семенов Денис Александрович</t>
  </si>
  <si>
    <t>+7(951) 217-63-35</t>
  </si>
  <si>
    <t>Щербаков Николай Владимирович</t>
  </si>
  <si>
    <t>Ижевский</t>
  </si>
  <si>
    <t>Зайцев Сергей Александрович</t>
  </si>
  <si>
    <t>+7(912)450-29-37</t>
  </si>
  <si>
    <t>Можгинский</t>
  </si>
  <si>
    <t>используется без сим-карты</t>
  </si>
  <si>
    <t>Шурмин Андрей Борисович</t>
  </si>
  <si>
    <t>+7 (951) 217-64-99</t>
  </si>
  <si>
    <t>Гареев Рифкат Мухамедович</t>
  </si>
  <si>
    <t>+7 (912) 452-61-66</t>
  </si>
  <si>
    <t>Ижевские ЭС</t>
  </si>
  <si>
    <t>89829910028
89827902870</t>
  </si>
  <si>
    <t>Бродько Юрий Иванович</t>
  </si>
  <si>
    <t>+7 (912) 856-13-89</t>
  </si>
  <si>
    <t>Ярэнерго</t>
  </si>
  <si>
    <t>Тутаевский</t>
  </si>
  <si>
    <t>9159808671
9159809190</t>
  </si>
  <si>
    <t>Некрасовский</t>
  </si>
  <si>
    <t>9159809051
9159808986
9159808820
9159808696
9159808663
9159808807</t>
  </si>
  <si>
    <t>Гаврилов-Ямский</t>
  </si>
  <si>
    <t>9159808280
9159808034</t>
  </si>
  <si>
    <t>Угличский</t>
  </si>
  <si>
    <r>
      <t xml:space="preserve">
</t>
    </r>
    <r>
      <rPr>
        <sz val="11"/>
        <color theme="9" tint="-0.249977111117893"/>
        <rFont val="Arial Narrow"/>
        <family val="2"/>
        <charset val="204"/>
      </rPr>
      <t>9159810180
9159810213
9159809554
9159809920
9159809593
9159808032
9159807986</t>
    </r>
  </si>
  <si>
    <t>Дата активности</t>
  </si>
  <si>
    <t>НижНовЭнерго</t>
  </si>
  <si>
    <t>КировЭнерго</t>
  </si>
  <si>
    <t>Смоленск</t>
  </si>
  <si>
    <t>ОПАП</t>
  </si>
  <si>
    <t>APN</t>
  </si>
  <si>
    <t>Sergey_Aleksandrovich_Mishin@mail.local</t>
  </si>
  <si>
    <t>Novikov.MN@kl.mrsk-cp.ru</t>
  </si>
  <si>
    <t>Sharifullin.AV@rz.mrsk-cp.ru</t>
  </si>
  <si>
    <t>Aleksey_Anatol'evich_Shubin@mail.local</t>
  </si>
  <si>
    <t>Егоров Владислав Владимирович</t>
  </si>
  <si>
    <t>Шабров Роман Александрович</t>
  </si>
  <si>
    <t>Лысенко Алексей Анатольевич</t>
  </si>
  <si>
    <t>Агафонов Андрей Николаевич</t>
  </si>
  <si>
    <t>Козлов Юрий Анатольевич</t>
  </si>
  <si>
    <t>Федутенко Эдуард Викторович</t>
  </si>
  <si>
    <t>Рыжих Николай Михайлович</t>
  </si>
  <si>
    <t>Чуриков Сергей Леонидович</t>
  </si>
  <si>
    <t>Гамзатов Валерий Авалуевич</t>
  </si>
  <si>
    <t>Бардокин Николай Александрович</t>
  </si>
  <si>
    <t>Банченко Сергей Михайлович</t>
  </si>
  <si>
    <t>Бабин Олег Иванович</t>
  </si>
  <si>
    <t>Котов Евгений Олегович</t>
  </si>
  <si>
    <t>Шматков Владимир Николаевич</t>
  </si>
  <si>
    <t>Трусов Дмитрий Владимирович</t>
  </si>
  <si>
    <t>Вавулин Роман Алексеевич</t>
  </si>
  <si>
    <t>Волков Александр Сергеевич</t>
  </si>
  <si>
    <t>Хрипачев Антон Николаевич</t>
  </si>
  <si>
    <t>Чуев Андрей Николаевич</t>
  </si>
  <si>
    <t>Ботков Антон Алексеевич</t>
  </si>
  <si>
    <t>Мишин Сергей Александрович</t>
  </si>
  <si>
    <t>Ломакин Николай Иванович</t>
  </si>
  <si>
    <t>Шубин Алексей Анатольевич</t>
  </si>
  <si>
    <t>Савельев Василий Алексеевич</t>
  </si>
  <si>
    <t>Гусаров Павел Владимирович</t>
  </si>
  <si>
    <t>Коноплев Алексей Николаевич</t>
  </si>
  <si>
    <t>Жунин Денис Николаевич</t>
  </si>
  <si>
    <t>Фролов Алексей Викторович</t>
  </si>
  <si>
    <t>Рафаилов Александр Владимирович</t>
  </si>
  <si>
    <t>Щукин Александр Федорович</t>
  </si>
  <si>
    <t>Варюхин Андрей Владимирович</t>
  </si>
  <si>
    <t>Бебнев Евгений Вячеславович</t>
  </si>
  <si>
    <t>Дедов Александр Александрович</t>
  </si>
  <si>
    <t>Бойчук Сергей Владимирович</t>
  </si>
  <si>
    <t>Звягин Вячеслав Викторович</t>
  </si>
  <si>
    <t>Чимин Валерий Владимирович</t>
  </si>
  <si>
    <t>Зарубин Артем Сергеевич</t>
  </si>
  <si>
    <t>Новиков Максим Николаевич</t>
  </si>
  <si>
    <t>Копылов Александр Владимирович</t>
  </si>
  <si>
    <t>Муругов Денис Анатольевич</t>
  </si>
  <si>
    <t>Никипелов Василий Викторович</t>
  </si>
  <si>
    <t>Дегтярь Михаил Александрович</t>
  </si>
  <si>
    <t>Ломовцев Евгений Владимирович</t>
  </si>
  <si>
    <t>Пашкин Евгений Владимирович</t>
  </si>
  <si>
    <t>Черников Алексей Дмитриевич</t>
  </si>
  <si>
    <t>Чудиновских Сергей Аркадьевич</t>
  </si>
  <si>
    <t>Лоскутов Иван Леонидович</t>
  </si>
  <si>
    <t>Шишкин Максим Анатольевич</t>
  </si>
  <si>
    <t>Шевченко Игорь Олегович</t>
  </si>
  <si>
    <t>Разгуляев Александр Сергеевич</t>
  </si>
  <si>
    <t>Корнилов Сергей Евгеньевич</t>
  </si>
  <si>
    <t>Зайцев Иван Валентинович</t>
  </si>
  <si>
    <t>Бучковец Юрий Михайлович</t>
  </si>
  <si>
    <t>Захаров Андрей Юрьевич</t>
  </si>
  <si>
    <t>Овчаров Евгений Алексеевич</t>
  </si>
  <si>
    <t>Смеян Артём Олегович</t>
  </si>
  <si>
    <t>Курбатов Олег Юрьевич</t>
  </si>
  <si>
    <t>Конти Андрей Юрьевич</t>
  </si>
  <si>
    <t>Татаринов Виктор Николаевич</t>
  </si>
  <si>
    <t>Кочаков Сергей Николаевич</t>
  </si>
  <si>
    <t>Тихонов Денис Валентинович</t>
  </si>
  <si>
    <t>Каримов Руслан Зиннурович</t>
  </si>
  <si>
    <t>Кузнецов Александр Иванович</t>
  </si>
  <si>
    <t>Зайцев Сергей Викторович</t>
  </si>
  <si>
    <t>Синицын Дмитрий Валерьевич</t>
  </si>
  <si>
    <t>Пчельников Александр Валерьевич</t>
  </si>
  <si>
    <t>Прозин Сергей Николаевич</t>
  </si>
  <si>
    <t>Ерохин Евгений Юрьевич</t>
  </si>
  <si>
    <t>Шарифуллин Андрей Владимирович</t>
  </si>
  <si>
    <t>Сошин Вячеслав Валерьевич</t>
  </si>
  <si>
    <t>Кривопалов Сергей Николаевич</t>
  </si>
  <si>
    <t>Прудников Олег Александрович</t>
  </si>
  <si>
    <t>Малыгин Александр Александрович</t>
  </si>
  <si>
    <t>Тимохин Александр Владимирович</t>
  </si>
  <si>
    <t>Королев Денис Юрьевич</t>
  </si>
  <si>
    <t>Бондарев Сергей Александрович</t>
  </si>
  <si>
    <t>Плещев Владимир Викторович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</si>
</sst>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₽_-;\-* #,##0.00\ _₽_-;_-* &quot;-&quot;??\ _₽_-;_-@_-"/>
    <numFmt numFmtId="164" formatCode="_-* #,##0.00_-;\-* #,##0.00_-;_-* &quot;-&quot;??_-;_-@_-"/>
    <numFmt numFmtId="165" formatCode="0_ ;\-0\ "/>
  </numFmts>
  <fonts count="12" x14ac:knownFonts="1">
    <font>
      <sz val="11"/>
      <color theme="1"/>
      <name val="Calibri"/>
      <scheme val="minor"/>
    </font>
    <font>
      <sz val="11"/>
      <color theme="1"/>
      <name val="Arial Narrow"/>
      <family val="2"/>
      <charset val="204"/>
    </font>
    <font>
      <b/>
      <sz val="11"/>
      <color theme="1"/>
      <name val="Arial Narrow"/>
      <family val="2"/>
      <charset val="204"/>
    </font>
    <font>
      <sz val="11"/>
      <color theme="9" tint="-0.249977111117893"/>
      <name val="Arial Narrow"/>
      <family val="2"/>
      <charset val="204"/>
    </font>
    <font>
      <sz val="11"/>
      <color theme="3" tint="0.39997558519241921"/>
      <name val="Arial Narrow"/>
      <family val="2"/>
      <charset val="204"/>
    </font>
    <font>
      <sz val="11"/>
      <color theme="7" tint="-0.249977111117893"/>
      <name val="Arial Narrow"/>
      <family val="2"/>
      <charset val="204"/>
    </font>
    <font>
      <sz val="11"/>
      <color rgb="FF00B0F0"/>
      <name val="Arial Narrow"/>
      <family val="2"/>
      <charset val="204"/>
    </font>
    <font>
      <sz val="11"/>
      <name val="Arial"/>
      <family val="2"/>
      <charset val="204"/>
    </font>
    <font>
      <b/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9"/>
      <name val="Tahoma"/>
      <family val="2"/>
      <charset val="204"/>
    </font>
    <font>
      <sz val="9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4">
    <xf numFmtId="0" fontId="0" fillId="0" borderId="0"/>
    <xf numFmtId="0" fontId="9" fillId="0" borderId="0"/>
    <xf numFmtId="43" fontId="9" fillId="0" borderId="0" applyFont="0" applyFill="0" applyBorder="0" applyProtection="0"/>
    <xf numFmtId="164" fontId="9" fillId="0" borderId="0" applyFont="0" applyFill="0" applyBorder="0" applyProtection="0"/>
  </cellStyleXfs>
  <cellXfs count="5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wrapText="1"/>
    </xf>
    <xf numFmtId="1" fontId="1" fillId="0" borderId="1" xfId="0" applyNumberFormat="1" applyFont="1" applyBorder="1" applyAlignment="1">
      <alignment wrapText="1"/>
    </xf>
    <xf numFmtId="1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vertical="center" wrapText="1"/>
    </xf>
    <xf numFmtId="0" fontId="1" fillId="3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4" borderId="1" xfId="0" applyFont="1" applyFill="1" applyBorder="1" applyAlignment="1">
      <alignment horizontal="left" vertical="center"/>
    </xf>
    <xf numFmtId="1" fontId="1" fillId="4" borderId="1" xfId="0" applyNumberFormat="1" applyFont="1" applyFill="1" applyBorder="1" applyAlignment="1">
      <alignment wrapText="1"/>
    </xf>
    <xf numFmtId="49" fontId="3" fillId="0" borderId="1" xfId="0" applyNumberFormat="1" applyFont="1" applyBorder="1" applyAlignment="1">
      <alignment horizontal="right" wrapText="1"/>
    </xf>
    <xf numFmtId="1" fontId="1" fillId="0" borderId="1" xfId="2" applyNumberFormat="1" applyFont="1" applyBorder="1" applyAlignment="1">
      <alignment wrapText="1"/>
    </xf>
    <xf numFmtId="1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 wrapText="1"/>
    </xf>
    <xf numFmtId="0" fontId="1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/>
    </xf>
    <xf numFmtId="1" fontId="1" fillId="0" borderId="1" xfId="0" applyNumberFormat="1" applyFont="1" applyBorder="1"/>
    <xf numFmtId="0" fontId="6" fillId="0" borderId="1" xfId="0" applyFont="1" applyBorder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left"/>
    </xf>
    <xf numFmtId="0" fontId="3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right" wrapText="1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5" borderId="2" xfId="1" applyFont="1" applyFill="1" applyBorder="1"/>
    <xf numFmtId="0" fontId="8" fillId="5" borderId="3" xfId="1" applyFont="1" applyFill="1" applyBorder="1" applyAlignment="1">
      <alignment horizontal="left"/>
    </xf>
    <xf numFmtId="0" fontId="8" fillId="5" borderId="3" xfId="1" applyFont="1" applyFill="1" applyBorder="1"/>
    <xf numFmtId="165" fontId="0" fillId="6" borderId="2" xfId="3" applyNumberFormat="1" applyFill="1" applyBorder="1"/>
    <xf numFmtId="22" fontId="9" fillId="6" borderId="3" xfId="1" applyNumberFormat="1" applyFill="1" applyBorder="1" applyAlignment="1">
      <alignment horizontal="left"/>
    </xf>
    <xf numFmtId="0" fontId="9" fillId="6" borderId="3" xfId="1" applyFill="1" applyBorder="1"/>
    <xf numFmtId="165" fontId="0" fillId="0" borderId="2" xfId="3" applyNumberFormat="1" applyBorder="1"/>
    <xf numFmtId="22" fontId="9" fillId="0" borderId="3" xfId="1" applyNumberFormat="1" applyBorder="1" applyAlignment="1">
      <alignment horizontal="left"/>
    </xf>
    <xf numFmtId="0" fontId="9" fillId="0" borderId="3" xfId="1" applyBorder="1"/>
    <xf numFmtId="0" fontId="9" fillId="0" borderId="0" xfId="1"/>
    <xf numFmtId="0" fontId="9" fillId="0" borderId="0" xfId="1" applyAlignment="1">
      <alignment horizontal="left"/>
    </xf>
    <xf numFmtId="165" fontId="0" fillId="0" borderId="0" xfId="3" applyNumberFormat="1"/>
    <xf numFmtId="22" fontId="9" fillId="0" borderId="0" xfId="1" applyNumberFormat="1" applyAlignment="1">
      <alignment horizontal="left"/>
    </xf>
    <xf numFmtId="0" fontId="4" fillId="0" borderId="0" xfId="0" applyFont="1" applyBorder="1" applyAlignment="1">
      <alignment horizontal="right" vertical="center" wrapText="1"/>
    </xf>
    <xf numFmtId="0" fontId="4" fillId="0" borderId="0" xfId="0" applyFont="1" applyBorder="1" applyAlignment="1">
      <alignment horizontal="right" vertical="center"/>
    </xf>
  </cellXfs>
  <cellStyles count="4">
    <cellStyle name="Обычный" xfId="0" builtinId="0"/>
    <cellStyle name="Обычный 2" xfId="1"/>
    <cellStyle name="Финансовый" xfId="2" builtinId="3"/>
    <cellStyle name="Финансовый 2" xfId="3"/>
  </cellStyles>
  <dxfs count="4">
    <dxf>
      <numFmt numFmtId="0" formatCode="General"/>
    </dxf>
    <dxf>
      <numFmt numFmtId="0" formatCode="General"/>
    </dxf>
    <dxf>
      <numFmt numFmtId="27" formatCode="dd/mm/yyyy\ h:mm"/>
      <alignment horizontal="left" vertical="bottom" textRotation="0" wrapText="0" relativeIndent="0" shrinkToFit="0"/>
    </dxf>
    <dxf>
      <numFmt numFmtId="165" formatCode="0_ ;\-0\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7.xml"/><Relationship Id="rId19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0;-4\&#1086;&#1073;&#1097;&#1072;&#1103;%20&#1087;&#1072;&#1087;&#1082;&#1072;\B-PL\NBPL\_F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n-moss\sites\&#1055;&#1083;&#1072;&#1085;%202007%20&#1080;%20&#1076;&#1088;\&#1055;&#1072;&#1087;&#1082;&#1072;%20&#1086;&#1073;&#1084;&#1077;&#1085;&#1072;\&#1050;&#1086;&#1090;&#1086;&#1074;&#1072;\&#1053;&#1080;&#1078;&#1085;&#1086;&#1074;TSET(1).2007.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n-moss\sites\Documents%20and%20Settings\maabrosimova\&#1056;&#1072;&#1073;&#1086;&#1095;&#1080;&#1081;%20&#1089;&#1090;&#1086;&#1083;\&#1053;&#1080;&#1078;&#1085;&#1086;&#1074;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a\C\Akt_1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as\&#1044;&#1086;&#1082;&#1091;&#1084;&#1077;&#1085;&#1090;&#1099;%20&#1045;&#1048;&#1040;&#1057;\DOCUME~1\OKAKUR~1\LOCALS~1\Temp\notes6030C8\&#1042;%20&#1056;&#1069;&#1050;&#1080;%20&#1087;&#1083;&#1072;&#1090;&#1072;%20&#1046;&#1050;&#1059;%20ver%20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081117_&#1050;&#1086;&#1088;&#1088;&#1077;&#1082;&#1090;&#1080;&#1088;&#1086;&#1074;&#1082;&#1072;%20&#1073;&#1072;&#1083;&#1072;&#1085;&#1089;&#1072;\&#1042;&#1072;&#1083;&#1077;&#1088;&#1072;_1_3-1_6%20&#1056;&#1057;&#1050;\&#1052;&#1072;&#1088;&#1080;&#1101;&#1085;&#1077;&#1088;&#1075;&#1086;\&#1041;&#1072;&#1083;&#1072;&#1085;&#1089;%20&#1101;&#1083;&#1077;&#1082;&#1090;&#1088;&#1086;&#1101;&#1085;%20&#1080;%20&#1084;&#1086;&#1097;&#1085;&#1086;&#1089;&#1090;&#1080;%20&#1087;&#1086;&#1090;&#1077;&#1088;&#1080;%202009.24%20&#1084;&#1072;&#1088;&#1090;&#1072;%202008&#1075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r-fs01\Common\&#1044;&#1041;&#1080;&#1059;&#1069;\&#1056;&#1069;&#1057;_&#1041;&#1040;&#1051;&#1040;&#1053;&#1057;\2017%20NEW\&#1040;&#1085;&#1072;&#1083;&#1080;&#1079;_&#1087;&#1086;&#1090;&#1077;&#1088;&#1100;_&#1101;&#1083;&#1077;&#1082;&#1090;&#1088;&#1080;&#1095;&#1077;&#1089;&#1082;&#1086;&#1081;_&#1101;&#1085;&#1077;&#1088;&#1075;&#1080;&#1080;_&#1082;_&#1086;&#1090;&#1087;&#1091;&#1089;&#1082;&#1091;_&#1074;_&#1089;&#1077;&#1090;&#1100;_f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n-moss\sites\Documents%20and%20Settings\dea\Local%20Settings\Temporary%20Internet%20Files\Content.Outlook\HZ0CMW2E\&#1057;&#1074;&#1086;&#1076;&#1085;&#1099;&#1081;%20&#1086;&#1090;&#1095;&#1077;&#1090;%20&#1052;&#1054;&#1050;&#1059;%201%20&#1079;&#1072;%20&#1048;&#1102;&#1085;&#1100;%202008%20(2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77.0.17\Store\&#1041;&#1072;&#1083;&#1072;&#1085;&#1089;%20&#1069;&#1069;%20&#1058;&#1069;&#1062;-1%20(v1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OCUME~1\Ogaraeva.FST\LOCALS~1\Temp\Rar$DI00.860\Documents%20and%20Settings\Shumeev\Local%20Settings\Temporary%20Internet%20Files\OLKAB4\Form1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mainmail\&#1060;&#1054;&#1056;&#1069;&#1052;\Documents%20and%20Settings\skosarev.FST\&#1056;&#1072;&#1073;&#1086;&#1095;&#1080;&#1081;%20&#1089;&#1090;&#1086;&#1083;\&#1050;&#1086;&#1087;&#1080;&#1103;%20TSET(1).NET.2007.1%20vitrin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S"/>
      <sheetName val="свод до вн.об."/>
      <sheetName val="расш.для РАО"/>
      <sheetName val="расш.для РАО стр.310"/>
      <sheetName val="Лист1"/>
      <sheetName val="1.1."/>
      <sheetName val="1.2."/>
      <sheetName val="Графики_Гкал,тыс.руб."/>
      <sheetName val="2.1."/>
      <sheetName val="2.2."/>
      <sheetName val="2.3."/>
      <sheetName val="2.4."/>
      <sheetName val="3.1."/>
      <sheetName val="3.2."/>
      <sheetName val="3.3."/>
      <sheetName val="4.1."/>
      <sheetName val="4.2."/>
      <sheetName val="4.3."/>
      <sheetName val="4.4."/>
      <sheetName val="4.5."/>
      <sheetName val="4.6."/>
      <sheetName val="4.7."/>
      <sheetName val="5.1."/>
      <sheetName val="5.1_январь"/>
      <sheetName val="5.1_февраль"/>
      <sheetName val="5.1_март"/>
      <sheetName val="6.1."/>
      <sheetName val="18.2-"/>
      <sheetName val="20-"/>
      <sheetName val="Э1.14 ОАО"/>
      <sheetName val="Э1.15ОАО"/>
      <sheetName val="Э1.14 ЗЭС"/>
      <sheetName val="Э1.14ЦЭС"/>
      <sheetName val="Э1.14ВЭС"/>
      <sheetName val="Э1.14ЮЭС"/>
      <sheetName val="Э1.15ЗЭС"/>
      <sheetName val="Э1.15ЦЭС"/>
      <sheetName val="Э1.15ВЭС"/>
      <sheetName val="Э1.15ЮЭС"/>
      <sheetName val="1 кв."/>
      <sheetName val="2 кв."/>
      <sheetName val="3 кв."/>
      <sheetName val="4 кв."/>
      <sheetName val=" год"/>
      <sheetName val="УП 33 свод."/>
      <sheetName val="Факт"/>
      <sheetName val="пл. и факт"/>
      <sheetName val="Модуль2"/>
      <sheetName val="Модуль1"/>
      <sheetName val="Приложение6"/>
      <sheetName val="П-15"/>
      <sheetName val="П-16 "/>
      <sheetName val="П-16-с"/>
      <sheetName val="П-16-м"/>
      <sheetName val="П-17 "/>
      <sheetName val="П-18 "/>
      <sheetName val="П-19 "/>
      <sheetName val="П-20"/>
      <sheetName val="УЗ-21 "/>
      <sheetName val="УЗ-22"/>
      <sheetName val="УЗ-23"/>
      <sheetName val="УЗ-24"/>
      <sheetName val="УЗ-25"/>
      <sheetName val="УЗ-26"/>
      <sheetName val="УЗ-27"/>
      <sheetName val="УП-28 "/>
      <sheetName val="УП-29 "/>
      <sheetName val="УП-30 "/>
      <sheetName val="УП-31"/>
      <sheetName val="УП-32 "/>
      <sheetName val="УП-33"/>
      <sheetName val="УИ-34"/>
      <sheetName val="УИ-34-м"/>
      <sheetName val="УИ-35"/>
      <sheetName val="УИ-36"/>
      <sheetName val="УИ-37"/>
      <sheetName val="УИ-39"/>
      <sheetName val="Лист2"/>
      <sheetName val="Лист3"/>
      <sheetName val="титул"/>
      <sheetName val="А1"/>
      <sheetName val="А2"/>
      <sheetName val="ПЭП2"/>
      <sheetName val="ПЭП3"/>
      <sheetName val="Б1"/>
      <sheetName val="ДПН1"/>
      <sheetName val="ДПН2"/>
      <sheetName val="ПБ1"/>
      <sheetName val="ПБ2"/>
      <sheetName val="УФ1 "/>
      <sheetName val="М2"/>
      <sheetName val="М3"/>
      <sheetName val="УЗ1 "/>
      <sheetName val="УЗ2"/>
      <sheetName val="УП1"/>
      <sheetName val="УП2"/>
      <sheetName val="УП3"/>
      <sheetName val="УИ1"/>
      <sheetName val="УИ2"/>
      <sheetName val="УР1"/>
      <sheetName val="И1"/>
      <sheetName val="И2"/>
      <sheetName val="УФ2"/>
      <sheetName val="УЗ-21"/>
      <sheetName val="УЗ-21(1кв)"/>
      <sheetName val="УЗ-21(1кв)факт"/>
      <sheetName val="УЗ-21(2кв)"/>
      <sheetName val="УЗ-21(3кв)"/>
      <sheetName val="УЗ-21(4кв)"/>
      <sheetName val="УЗ-22(1кв)"/>
      <sheetName val="УЗ-22(2кв)"/>
      <sheetName val="УЗ-22(3кв)"/>
      <sheetName val="УЗ-22(4кв)"/>
      <sheetName val="УЗ-26 (1)"/>
      <sheetName val="УЗ-26 (2)"/>
      <sheetName val="УЗ-26 (3)"/>
      <sheetName val="УЗ-26 (4)"/>
      <sheetName val="УЗ-27 (1)"/>
      <sheetName val="УЗ-27 (2)"/>
      <sheetName val="УЗ-27 (3)"/>
      <sheetName val="УЗ-27 (4)"/>
      <sheetName val="УП-28"/>
      <sheetName val="УП-29"/>
      <sheetName val="УП-30"/>
      <sheetName val="УП-32"/>
      <sheetName val="2.Ê"/>
      <sheetName val="3. Расчеты с потребителями"/>
      <sheetName val="Лист1 (2)"/>
      <sheetName val="Ком потери"/>
      <sheetName val="InputTI"/>
      <sheetName val="_FES"/>
      <sheetName val="УЗ-21 (1полуг 2002)"/>
      <sheetName val="УЗ-21 (1полуг 2003 план)"/>
      <sheetName val="УЗ-21(1полуг2003факт)1"/>
      <sheetName val="УЗ-21 (1полуг 2003 факт)"/>
      <sheetName val="УЗ-22 (1полуг 2002)факт"/>
      <sheetName val="УЗ-22 (1полуг 2003)пл"/>
      <sheetName val="УЗ-22 (1полуг 2003)факт"/>
      <sheetName val="УЗ-23(1 полуг 2002)"/>
      <sheetName val="УЗ-23(1 полуг 2003)пл"/>
      <sheetName val="УЗ-23(1полуг 2003) факт"/>
      <sheetName val="УЗ-26 (1полуг 2002  факт)"/>
      <sheetName val="УЗ-26 (1полуг 2003 план)"/>
      <sheetName val="УЗ-26 (1полуг 2003 факт)"/>
      <sheetName val="Прил 1"/>
      <sheetName val="Прил. 1.1."/>
      <sheetName val="Объемы"/>
      <sheetName val="СКС"/>
      <sheetName val="пл-ф 01.06г."/>
      <sheetName val="Премия (Бизнес-план) "/>
      <sheetName val="Премия (БДР) "/>
      <sheetName val="Объемы "/>
      <sheetName val="СКС "/>
      <sheetName val="Качк_тепло"/>
      <sheetName val="Качк_электро"/>
      <sheetName val="Качк_вода"/>
      <sheetName val="Качк_стоки"/>
      <sheetName val="Качк_свод"/>
      <sheetName val="Н_Тура"/>
      <sheetName val="Первоур"/>
      <sheetName val="пл-ф 02.06г."/>
      <sheetName val="Дотация за февраль"/>
      <sheetName val="Анализ по субконто"/>
      <sheetName val="Объемы март "/>
      <sheetName val="Доходы март"/>
      <sheetName val="свод"/>
      <sheetName val="тэнергия"/>
      <sheetName val="котельные"/>
      <sheetName val="котельные 2"/>
      <sheetName val="ээнергия"/>
      <sheetName val="водоотведение"/>
      <sheetName val="водоснабжение"/>
      <sheetName val="прочие"/>
      <sheetName val="расшифровка по прочим"/>
      <sheetName val="анализ покупки ТЭР"/>
      <sheetName val="обьем продаж"/>
      <sheetName val="смета ахр"/>
      <sheetName val="приложение 2 "/>
      <sheetName val="выручка"/>
      <sheetName val="ТМЦ ремонт"/>
      <sheetName val="ремонт"/>
      <sheetName val="пуско-нал"/>
      <sheetName val="ОФ вне смет строек"/>
      <sheetName val="ОФ"/>
      <sheetName val="ОС до 10 тр"/>
      <sheetName val="НИОКР"/>
      <sheetName val="аренда"/>
      <sheetName val="диагностика"/>
      <sheetName val="гостехнадзор"/>
      <sheetName val="лицензии"/>
      <sheetName val="вода"/>
      <sheetName val="охрана окр ср"/>
      <sheetName val="типографские бланки"/>
      <sheetName val="ТМЦ канц"/>
      <sheetName val="командиров"/>
      <sheetName val="спецлитература"/>
      <sheetName val="2001"/>
      <sheetName val="списки"/>
      <sheetName val="Позиция"/>
      <sheetName val="ñâîä äî âí.îá."/>
      <sheetName val="ðàñø.äëÿ ÐÀÎ"/>
      <sheetName val="ðàñø.äëÿ ÐÀÎ ñòð.310"/>
      <sheetName val="Ëèñò1"/>
      <sheetName val="Ãðàôèêè_Ãêàë,òûñ.ðóá."/>
      <sheetName val="5.1_ÿíâàðü"/>
      <sheetName val="5.1_ôåâðàëü"/>
      <sheetName val="5.1_ìàðò"/>
      <sheetName val="1 êâ."/>
      <sheetName val="2 êâ."/>
      <sheetName val="3 êâ."/>
      <sheetName val="4 êâ."/>
      <sheetName val=" ãîä"/>
      <sheetName val="ÓÏ 33 ñâîä."/>
      <sheetName val="Ôàêò"/>
      <sheetName val="ïë. è ôàêò"/>
      <sheetName val="Ìîäóëü2"/>
      <sheetName val="Ìîäóëü1"/>
      <sheetName val="map_nat"/>
      <sheetName val="map_RPG"/>
      <sheetName val="Profit &amp; Loss Total"/>
      <sheetName val="SMetstrait"/>
      <sheetName val="Контроль"/>
      <sheetName val="Отопление"/>
      <sheetName val="постоянные затраты"/>
      <sheetName val="Исх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справления 30.05.2006"/>
      <sheetName val="Заголовок"/>
      <sheetName val="Содержание"/>
      <sheetName val="3"/>
      <sheetName val="4"/>
      <sheetName val="5"/>
      <sheetName val="6"/>
      <sheetName val="15"/>
      <sheetName val="16"/>
      <sheetName val="17"/>
      <sheetName val="17.1"/>
      <sheetName val="18.2 (2)"/>
      <sheetName val="18.2"/>
      <sheetName val="20"/>
      <sheetName val="20.1"/>
      <sheetName val="21.3"/>
      <sheetName val="24 (2)"/>
      <sheetName val="24"/>
      <sheetName val="25"/>
      <sheetName val="27"/>
      <sheetName val="P2.1"/>
      <sheetName val="P2.2"/>
      <sheetName val="2.3"/>
      <sheetName val="перекрестка"/>
      <sheetName val="рАСПРЕДЕЛЕНИЕ ПЕРЕКРЕСТКИ"/>
      <sheetName val="свод"/>
    </sheetNames>
    <sheetDataSet>
      <sheetData sheetId="0" refreshError="1"/>
      <sheetData sheetId="1" refreshError="1">
        <row r="1">
          <cell r="G1" t="str">
            <v>Титульный лист</v>
          </cell>
        </row>
        <row r="2">
          <cell r="A2" t="str">
            <v>РАСЧЕТ ТАРИФОВ НА УСЛУГИ ПО ПЕРЕДАЧЕ ЭЛЕКТРИЧЕСКОЙ ЭНЕРГИИ</v>
          </cell>
        </row>
        <row r="6">
          <cell r="A6" t="str">
            <v>Наименование организации:</v>
          </cell>
          <cell r="B6" t="str">
            <v>Используйте меню АРМ СЕМ-&gt;Редактирование-&gt;Свойства документа</v>
          </cell>
        </row>
        <row r="7">
          <cell r="A7" t="str">
            <v>Почтовый адрес:</v>
          </cell>
          <cell r="B7" t="str">
            <v>Адрес почт1</v>
          </cell>
        </row>
        <row r="9">
          <cell r="A9" t="str">
            <v>Код</v>
          </cell>
        </row>
        <row r="10">
          <cell r="A10" t="str">
            <v>отчитывающейся организации по ОКПО</v>
          </cell>
          <cell r="B10" t="str">
            <v>вида деятельности</v>
          </cell>
          <cell r="C10" t="str">
            <v xml:space="preserve">отрасли по ОКОНХ </v>
          </cell>
          <cell r="D10" t="str">
            <v>территории по ОКАТО</v>
          </cell>
          <cell r="E10" t="str">
            <v>министерства (ведомства), органа управления по ОКОГУ</v>
          </cell>
          <cell r="F10" t="str">
            <v>организационно-правовой формы по ОКОПФ</v>
          </cell>
          <cell r="G10" t="str">
            <v>формы собственности по ОКФС</v>
          </cell>
        </row>
        <row r="11">
          <cell r="A11">
            <v>1</v>
          </cell>
          <cell r="B11">
            <v>2</v>
          </cell>
          <cell r="C11">
            <v>3</v>
          </cell>
          <cell r="D11">
            <v>4</v>
          </cell>
          <cell r="E11">
            <v>5</v>
          </cell>
          <cell r="F11">
            <v>6</v>
          </cell>
          <cell r="G11">
            <v>7</v>
          </cell>
        </row>
        <row r="12">
          <cell r="A12" t="str">
            <v>ОКПО1</v>
          </cell>
          <cell r="B12" t="str">
            <v>ОКВД1</v>
          </cell>
          <cell r="C12" t="str">
            <v>ОКОНХ1</v>
          </cell>
          <cell r="D12" t="str">
            <v>ОКАТО1</v>
          </cell>
          <cell r="E12" t="str">
            <v>ОКОГУ1</v>
          </cell>
          <cell r="F12" t="str">
            <v>ОКОПФ1</v>
          </cell>
          <cell r="G12" t="str">
            <v>ОКФС1</v>
          </cell>
        </row>
        <row r="14">
          <cell r="A14" t="str">
            <v>Период регулирования</v>
          </cell>
          <cell r="B14">
            <v>2007</v>
          </cell>
        </row>
        <row r="15">
          <cell r="A15" t="str">
            <v>Базовый период</v>
          </cell>
          <cell r="B15">
            <v>2006</v>
          </cell>
        </row>
        <row r="16">
          <cell r="B16">
            <v>2005</v>
          </cell>
        </row>
      </sheetData>
      <sheetData sheetId="2" refreshError="1">
        <row r="3">
          <cell r="A3" t="str">
            <v>Титульный лист РАСЧЕТ ТАРИФОВ НА УСЛУГИ ПО ПЕРЕДАЧЕ ЭЛЕКТРИЧЕСКОЙ ЭНЕРГИИ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6">
          <cell r="A6">
            <v>1</v>
          </cell>
          <cell r="B6">
            <v>2</v>
          </cell>
          <cell r="C6">
            <v>3</v>
          </cell>
          <cell r="D6">
            <v>4</v>
          </cell>
          <cell r="F6">
            <v>5</v>
          </cell>
          <cell r="G6">
            <v>6</v>
          </cell>
          <cell r="H6" t="str">
            <v>7 = 5 * 6 /100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F20">
            <v>180</v>
          </cell>
          <cell r="G20">
            <v>680.02</v>
          </cell>
          <cell r="H20">
            <v>1224.0359999999998</v>
          </cell>
        </row>
        <row r="21">
          <cell r="F21">
            <v>160</v>
          </cell>
          <cell r="G21">
            <v>188.7</v>
          </cell>
          <cell r="H21">
            <v>301.92</v>
          </cell>
        </row>
        <row r="22">
          <cell r="F22">
            <v>130</v>
          </cell>
          <cell r="G22">
            <v>1580.85</v>
          </cell>
          <cell r="H22">
            <v>2055.105</v>
          </cell>
        </row>
        <row r="23">
          <cell r="F23">
            <v>190</v>
          </cell>
          <cell r="G23">
            <v>456.1</v>
          </cell>
          <cell r="H23">
            <v>866.59</v>
          </cell>
        </row>
        <row r="24">
          <cell r="F24">
            <v>160</v>
          </cell>
          <cell r="G24">
            <v>1098.886</v>
          </cell>
          <cell r="H24">
            <v>1758.2176000000002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6205.8685999999998</v>
          </cell>
        </row>
        <row r="28">
          <cell r="F28">
            <v>170</v>
          </cell>
          <cell r="G28">
            <v>553.26</v>
          </cell>
          <cell r="H28">
            <v>940.54199999999992</v>
          </cell>
        </row>
        <row r="29">
          <cell r="F29">
            <v>140</v>
          </cell>
          <cell r="G29">
            <v>41.11</v>
          </cell>
          <cell r="H29">
            <v>57.553999999999995</v>
          </cell>
        </row>
        <row r="30">
          <cell r="F30">
            <v>120</v>
          </cell>
          <cell r="G30">
            <v>1679.71</v>
          </cell>
          <cell r="H30">
            <v>2015.652</v>
          </cell>
        </row>
        <row r="31">
          <cell r="F31">
            <v>180</v>
          </cell>
          <cell r="G31">
            <v>22.07</v>
          </cell>
          <cell r="H31">
            <v>39.725999999999999</v>
          </cell>
        </row>
        <row r="32">
          <cell r="F32">
            <v>150</v>
          </cell>
          <cell r="G32">
            <v>211.69</v>
          </cell>
          <cell r="H32">
            <v>317.53500000000003</v>
          </cell>
        </row>
        <row r="33">
          <cell r="F33">
            <v>160</v>
          </cell>
          <cell r="G33">
            <v>1588.72</v>
          </cell>
          <cell r="H33">
            <v>2541.9520000000002</v>
          </cell>
        </row>
        <row r="34">
          <cell r="F34">
            <v>140</v>
          </cell>
          <cell r="G34">
            <v>6999.83</v>
          </cell>
          <cell r="H34">
            <v>9799.7619999999988</v>
          </cell>
        </row>
        <row r="35">
          <cell r="F35">
            <v>110</v>
          </cell>
          <cell r="G35">
            <v>13597.09</v>
          </cell>
          <cell r="H35">
            <v>14956.798999999999</v>
          </cell>
        </row>
        <row r="36">
          <cell r="H36">
            <v>0</v>
          </cell>
        </row>
        <row r="37">
          <cell r="F37">
            <v>350</v>
          </cell>
          <cell r="G37">
            <v>2603.9499999999998</v>
          </cell>
          <cell r="H37">
            <v>9113.8249999999989</v>
          </cell>
        </row>
        <row r="38">
          <cell r="H38">
            <v>3371.009</v>
          </cell>
        </row>
        <row r="39">
          <cell r="H39">
            <v>36412.337999999996</v>
          </cell>
        </row>
        <row r="40">
          <cell r="F40">
            <v>260</v>
          </cell>
          <cell r="G40">
            <v>4871.43</v>
          </cell>
          <cell r="H40">
            <v>12665.718000000001</v>
          </cell>
        </row>
        <row r="41">
          <cell r="F41">
            <v>220</v>
          </cell>
          <cell r="G41">
            <v>12426.7</v>
          </cell>
          <cell r="H41">
            <v>27338.74</v>
          </cell>
        </row>
        <row r="42">
          <cell r="F42">
            <v>150</v>
          </cell>
          <cell r="G42">
            <v>7025.75</v>
          </cell>
          <cell r="H42">
            <v>10538.625</v>
          </cell>
        </row>
        <row r="43">
          <cell r="F43">
            <v>270</v>
          </cell>
          <cell r="G43">
            <v>1150.54</v>
          </cell>
          <cell r="H43">
            <v>3106.4580000000001</v>
          </cell>
        </row>
        <row r="44">
          <cell r="H44">
            <v>53649.540999999997</v>
          </cell>
        </row>
      </sheetData>
      <sheetData sheetId="21" refreshError="1">
        <row r="6">
          <cell r="A6">
            <v>1</v>
          </cell>
          <cell r="B6">
            <v>2</v>
          </cell>
          <cell r="D6">
            <v>3</v>
          </cell>
          <cell r="E6">
            <v>4</v>
          </cell>
          <cell r="F6">
            <v>5</v>
          </cell>
          <cell r="G6">
            <v>6</v>
          </cell>
          <cell r="H6" t="str">
            <v>7=5*6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F12">
            <v>105</v>
          </cell>
          <cell r="G12">
            <v>141</v>
          </cell>
          <cell r="H12">
            <v>14805</v>
          </cell>
        </row>
        <row r="13">
          <cell r="F13">
            <v>75</v>
          </cell>
          <cell r="G13">
            <v>117</v>
          </cell>
          <cell r="H13">
            <v>8775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F19">
            <v>7.8</v>
          </cell>
          <cell r="G19">
            <v>272</v>
          </cell>
          <cell r="H19">
            <v>2121.6</v>
          </cell>
        </row>
        <row r="20">
          <cell r="F20">
            <v>2.1</v>
          </cell>
          <cell r="G20">
            <v>212</v>
          </cell>
          <cell r="H20">
            <v>445.20000000000005</v>
          </cell>
        </row>
        <row r="21">
          <cell r="F21">
            <v>1</v>
          </cell>
          <cell r="G21">
            <v>652</v>
          </cell>
          <cell r="H21">
            <v>652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F31">
            <v>14</v>
          </cell>
          <cell r="G31">
            <v>267</v>
          </cell>
          <cell r="H31">
            <v>3738</v>
          </cell>
        </row>
        <row r="32">
          <cell r="F32">
            <v>6.4</v>
          </cell>
          <cell r="G32">
            <v>601</v>
          </cell>
          <cell r="H32">
            <v>3846.4</v>
          </cell>
        </row>
        <row r="33">
          <cell r="F33">
            <v>3.1</v>
          </cell>
          <cell r="G33">
            <v>6300</v>
          </cell>
          <cell r="H33">
            <v>19530</v>
          </cell>
        </row>
        <row r="34">
          <cell r="F34">
            <v>35</v>
          </cell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F37">
            <v>9.5</v>
          </cell>
          <cell r="G37">
            <v>211</v>
          </cell>
          <cell r="H37">
            <v>2004.5</v>
          </cell>
        </row>
        <row r="38">
          <cell r="F38">
            <v>4.7</v>
          </cell>
          <cell r="G38">
            <v>19</v>
          </cell>
          <cell r="H38">
            <v>89.3</v>
          </cell>
        </row>
        <row r="39">
          <cell r="F39">
            <v>2.2999999999999998</v>
          </cell>
          <cell r="G39">
            <v>8521</v>
          </cell>
          <cell r="H39">
            <v>19598.3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F44">
            <v>2.5</v>
          </cell>
          <cell r="G44">
            <v>1285</v>
          </cell>
          <cell r="H44">
            <v>3212.5</v>
          </cell>
        </row>
        <row r="45">
          <cell r="F45">
            <v>2.2999999999999998</v>
          </cell>
          <cell r="G45">
            <v>11133</v>
          </cell>
          <cell r="H45">
            <v>25605.899999999998</v>
          </cell>
        </row>
        <row r="46">
          <cell r="F46">
            <v>3</v>
          </cell>
          <cell r="G46">
            <v>1235</v>
          </cell>
          <cell r="H46">
            <v>3705</v>
          </cell>
        </row>
        <row r="47">
          <cell r="F47">
            <v>3.5</v>
          </cell>
          <cell r="G47">
            <v>8</v>
          </cell>
          <cell r="H47">
            <v>28</v>
          </cell>
        </row>
        <row r="48">
          <cell r="H48">
            <v>22669.1</v>
          </cell>
        </row>
        <row r="49">
          <cell r="H49">
            <v>13183.9</v>
          </cell>
        </row>
        <row r="50">
          <cell r="H50">
            <v>72303.7</v>
          </cell>
        </row>
        <row r="51">
          <cell r="H51">
            <v>0</v>
          </cell>
        </row>
      </sheetData>
      <sheetData sheetId="22" refreshError="1"/>
      <sheetData sheetId="23" refreshError="1">
        <row r="7">
          <cell r="A7">
            <v>1</v>
          </cell>
          <cell r="B7">
            <v>2</v>
          </cell>
          <cell r="F7">
            <v>3</v>
          </cell>
          <cell r="G7">
            <v>4</v>
          </cell>
          <cell r="H7">
            <v>5</v>
          </cell>
          <cell r="I7">
            <v>7</v>
          </cell>
          <cell r="J7">
            <v>8</v>
          </cell>
          <cell r="K7">
            <v>9</v>
          </cell>
          <cell r="L7">
            <v>11</v>
          </cell>
          <cell r="M7">
            <v>12</v>
          </cell>
          <cell r="N7" t="str">
            <v>13</v>
          </cell>
          <cell r="O7" t="str">
            <v>14</v>
          </cell>
        </row>
        <row r="8">
          <cell r="F8" t="e">
            <v>#DIV/0!</v>
          </cell>
          <cell r="G8" t="e">
            <v>#DIV/0!</v>
          </cell>
        </row>
        <row r="9">
          <cell r="F9">
            <v>138.49926939037934</v>
          </cell>
          <cell r="G9">
            <v>87.054830259459408</v>
          </cell>
          <cell r="H9">
            <v>1881.99</v>
          </cell>
          <cell r="I9">
            <v>1699.7941000000001</v>
          </cell>
          <cell r="K9">
            <v>186.10999999999999</v>
          </cell>
          <cell r="L9">
            <v>46.900499999999994</v>
          </cell>
          <cell r="M9">
            <v>1746.6946</v>
          </cell>
          <cell r="N9">
            <v>1.5083934957164853</v>
          </cell>
          <cell r="O9">
            <v>2068.1</v>
          </cell>
        </row>
        <row r="10">
          <cell r="F10">
            <v>172.51701976980456</v>
          </cell>
          <cell r="G10">
            <v>108.43696099649875</v>
          </cell>
          <cell r="H10">
            <v>1510.89</v>
          </cell>
          <cell r="I10">
            <v>1004.0592</v>
          </cell>
          <cell r="K10">
            <v>157.39999999999998</v>
          </cell>
          <cell r="L10">
            <v>25.894199999999998</v>
          </cell>
          <cell r="M10">
            <v>1029.9534000000001</v>
          </cell>
          <cell r="N10">
            <v>1.6277671148020088</v>
          </cell>
          <cell r="O10">
            <v>1668.29</v>
          </cell>
        </row>
        <row r="11">
          <cell r="H11">
            <v>1451.0500000000002</v>
          </cell>
          <cell r="I11">
            <v>945.41600000000005</v>
          </cell>
          <cell r="K11">
            <v>125.17999999999999</v>
          </cell>
          <cell r="L11">
            <v>8.8176000000000005</v>
          </cell>
          <cell r="M11">
            <v>954.23360000000002</v>
          </cell>
          <cell r="N11">
            <v>1.6518282315776769</v>
          </cell>
          <cell r="O11">
            <v>1576.2300000000002</v>
          </cell>
        </row>
        <row r="12">
          <cell r="I12">
            <v>0</v>
          </cell>
          <cell r="L12">
            <v>0</v>
          </cell>
          <cell r="M12">
            <v>0</v>
          </cell>
          <cell r="O12">
            <v>0</v>
          </cell>
        </row>
        <row r="13">
          <cell r="I13">
            <v>0</v>
          </cell>
          <cell r="L13">
            <v>0</v>
          </cell>
          <cell r="M13">
            <v>0</v>
          </cell>
          <cell r="O13">
            <v>0</v>
          </cell>
        </row>
        <row r="14">
          <cell r="I14">
            <v>0</v>
          </cell>
          <cell r="L14">
            <v>0</v>
          </cell>
          <cell r="M14">
            <v>0</v>
          </cell>
          <cell r="O14">
            <v>0</v>
          </cell>
        </row>
        <row r="15">
          <cell r="F15">
            <v>176</v>
          </cell>
          <cell r="G15">
            <v>112</v>
          </cell>
          <cell r="H15">
            <v>1421.15</v>
          </cell>
          <cell r="I15">
            <v>909.53600000000006</v>
          </cell>
          <cell r="J15">
            <v>176</v>
          </cell>
          <cell r="K15">
            <v>115.16</v>
          </cell>
          <cell r="L15">
            <v>0</v>
          </cell>
          <cell r="M15">
            <v>909.53600000000006</v>
          </cell>
          <cell r="N15">
            <v>1.6891140097808115</v>
          </cell>
          <cell r="O15">
            <v>1536.3100000000002</v>
          </cell>
        </row>
        <row r="16">
          <cell r="F16">
            <v>176</v>
          </cell>
          <cell r="G16">
            <v>56</v>
          </cell>
          <cell r="H16">
            <v>29.9</v>
          </cell>
          <cell r="I16">
            <v>35.879999999999995</v>
          </cell>
          <cell r="J16">
            <v>88</v>
          </cell>
          <cell r="K16">
            <v>10.02</v>
          </cell>
          <cell r="L16">
            <v>8.8176000000000005</v>
          </cell>
          <cell r="M16">
            <v>44.697599999999994</v>
          </cell>
          <cell r="N16">
            <v>0.89311282932416969</v>
          </cell>
          <cell r="O16">
            <v>39.92</v>
          </cell>
        </row>
        <row r="17">
          <cell r="H17">
            <v>59.84</v>
          </cell>
          <cell r="I17">
            <v>58.643200000000007</v>
          </cell>
          <cell r="K17">
            <v>32.22</v>
          </cell>
          <cell r="L17">
            <v>17.076599999999999</v>
          </cell>
          <cell r="M17">
            <v>75.719800000000006</v>
          </cell>
          <cell r="N17">
            <v>1.2157982456372045</v>
          </cell>
          <cell r="O17">
            <v>92.06</v>
          </cell>
        </row>
        <row r="18">
          <cell r="I18">
            <v>0</v>
          </cell>
          <cell r="L18">
            <v>0</v>
          </cell>
          <cell r="M18">
            <v>0</v>
          </cell>
          <cell r="O18">
            <v>0</v>
          </cell>
        </row>
        <row r="19">
          <cell r="I19">
            <v>0</v>
          </cell>
          <cell r="L19">
            <v>0</v>
          </cell>
          <cell r="M19">
            <v>0</v>
          </cell>
          <cell r="O19">
            <v>0</v>
          </cell>
        </row>
        <row r="20">
          <cell r="I20">
            <v>0</v>
          </cell>
          <cell r="L20">
            <v>0</v>
          </cell>
          <cell r="M20">
            <v>0</v>
          </cell>
          <cell r="O20">
            <v>0</v>
          </cell>
        </row>
        <row r="21">
          <cell r="F21">
            <v>176</v>
          </cell>
          <cell r="G21">
            <v>78</v>
          </cell>
          <cell r="H21">
            <v>59.84</v>
          </cell>
          <cell r="I21">
            <v>58.643200000000007</v>
          </cell>
          <cell r="J21">
            <v>123</v>
          </cell>
          <cell r="K21">
            <v>32.22</v>
          </cell>
          <cell r="L21">
            <v>17.076599999999999</v>
          </cell>
          <cell r="M21">
            <v>75.719800000000006</v>
          </cell>
          <cell r="N21">
            <v>1.2157982456372045</v>
          </cell>
          <cell r="O21">
            <v>92.06</v>
          </cell>
        </row>
        <row r="22">
          <cell r="I22">
            <v>0</v>
          </cell>
          <cell r="L22">
            <v>0</v>
          </cell>
          <cell r="M22">
            <v>0</v>
          </cell>
          <cell r="O22">
            <v>0</v>
          </cell>
        </row>
        <row r="23">
          <cell r="H23">
            <v>370.09999999999997</v>
          </cell>
          <cell r="I23">
            <v>377.01490000000001</v>
          </cell>
          <cell r="K23">
            <v>28.71</v>
          </cell>
          <cell r="L23">
            <v>21.0063</v>
          </cell>
          <cell r="M23">
            <v>398.02120000000002</v>
          </cell>
          <cell r="N23">
            <v>4.3875840597243103</v>
          </cell>
          <cell r="O23">
            <v>92.06</v>
          </cell>
        </row>
        <row r="24">
          <cell r="I24">
            <v>0</v>
          </cell>
          <cell r="L24">
            <v>0</v>
          </cell>
          <cell r="M24">
            <v>0</v>
          </cell>
          <cell r="O24">
            <v>0</v>
          </cell>
        </row>
        <row r="25">
          <cell r="I25">
            <v>0</v>
          </cell>
          <cell r="L25">
            <v>0</v>
          </cell>
          <cell r="M25">
            <v>0</v>
          </cell>
          <cell r="O25">
            <v>0</v>
          </cell>
        </row>
        <row r="26">
          <cell r="I26">
            <v>0</v>
          </cell>
          <cell r="L26">
            <v>0</v>
          </cell>
          <cell r="M26">
            <v>0</v>
          </cell>
          <cell r="O26">
            <v>0</v>
          </cell>
        </row>
        <row r="27">
          <cell r="F27">
            <v>176</v>
          </cell>
          <cell r="G27">
            <v>78</v>
          </cell>
          <cell r="H27">
            <v>333.39</v>
          </cell>
          <cell r="I27">
            <v>326.72219999999999</v>
          </cell>
          <cell r="J27">
            <v>123</v>
          </cell>
          <cell r="K27">
            <v>19.059999999999999</v>
          </cell>
          <cell r="L27">
            <v>10.101799999999999</v>
          </cell>
          <cell r="M27">
            <v>336.82400000000001</v>
          </cell>
          <cell r="N27">
            <v>1.046392181079733</v>
          </cell>
          <cell r="O27">
            <v>352.45</v>
          </cell>
        </row>
        <row r="28">
          <cell r="F28">
            <v>176</v>
          </cell>
          <cell r="G28">
            <v>39</v>
          </cell>
          <cell r="H28">
            <v>36.71</v>
          </cell>
          <cell r="I28">
            <v>50.292699999999996</v>
          </cell>
          <cell r="J28">
            <v>63</v>
          </cell>
          <cell r="K28">
            <v>9.65</v>
          </cell>
          <cell r="L28">
            <v>10.904500000000001</v>
          </cell>
          <cell r="M28">
            <v>61.197199999999995</v>
          </cell>
          <cell r="N28">
            <v>0.75755099906531675</v>
          </cell>
          <cell r="O28">
            <v>46.36</v>
          </cell>
        </row>
        <row r="29">
          <cell r="H29">
            <v>1</v>
          </cell>
          <cell r="I29">
            <v>318.72000000000003</v>
          </cell>
          <cell r="K29">
            <v>0</v>
          </cell>
          <cell r="L29">
            <v>0</v>
          </cell>
          <cell r="M29">
            <v>318.72000000000003</v>
          </cell>
          <cell r="N29">
            <v>0</v>
          </cell>
          <cell r="O29">
            <v>352.45</v>
          </cell>
        </row>
        <row r="30">
          <cell r="I30">
            <v>0</v>
          </cell>
          <cell r="L30">
            <v>0</v>
          </cell>
          <cell r="M30">
            <v>0</v>
          </cell>
          <cell r="O30">
            <v>0</v>
          </cell>
        </row>
        <row r="31">
          <cell r="I31">
            <v>0</v>
          </cell>
          <cell r="L31">
            <v>0</v>
          </cell>
          <cell r="M31">
            <v>0</v>
          </cell>
          <cell r="O31">
            <v>0</v>
          </cell>
        </row>
        <row r="32">
          <cell r="I32">
            <v>0</v>
          </cell>
          <cell r="L32">
            <v>0</v>
          </cell>
          <cell r="M32">
            <v>0</v>
          </cell>
          <cell r="O32">
            <v>0</v>
          </cell>
        </row>
        <row r="33">
          <cell r="I33">
            <v>0</v>
          </cell>
          <cell r="L33">
            <v>0</v>
          </cell>
          <cell r="M33">
            <v>0</v>
          </cell>
          <cell r="O33">
            <v>0</v>
          </cell>
        </row>
        <row r="34">
          <cell r="F34">
            <v>31872</v>
          </cell>
          <cell r="G34">
            <v>0</v>
          </cell>
          <cell r="H34">
            <v>1</v>
          </cell>
          <cell r="I34">
            <v>318.72000000000003</v>
          </cell>
          <cell r="L34">
            <v>0</v>
          </cell>
          <cell r="M34">
            <v>318.72000000000003</v>
          </cell>
          <cell r="O34">
            <v>1</v>
          </cell>
        </row>
        <row r="35">
          <cell r="H35">
            <v>0</v>
          </cell>
          <cell r="I35">
            <v>0</v>
          </cell>
          <cell r="K35">
            <v>0</v>
          </cell>
          <cell r="L35">
            <v>0</v>
          </cell>
          <cell r="M35">
            <v>0</v>
          </cell>
          <cell r="O35">
            <v>0</v>
          </cell>
        </row>
        <row r="36">
          <cell r="I36">
            <v>0</v>
          </cell>
          <cell r="L36">
            <v>0</v>
          </cell>
          <cell r="M36">
            <v>0</v>
          </cell>
          <cell r="O36">
            <v>0</v>
          </cell>
        </row>
        <row r="37">
          <cell r="I37">
            <v>0</v>
          </cell>
          <cell r="L37">
            <v>0</v>
          </cell>
          <cell r="M37">
            <v>0</v>
          </cell>
          <cell r="O37">
            <v>0</v>
          </cell>
        </row>
        <row r="38">
          <cell r="I38">
            <v>0</v>
          </cell>
          <cell r="L38">
            <v>0</v>
          </cell>
          <cell r="M38">
            <v>0</v>
          </cell>
          <cell r="O38">
            <v>0</v>
          </cell>
        </row>
        <row r="39">
          <cell r="I39">
            <v>0</v>
          </cell>
          <cell r="L39">
            <v>0</v>
          </cell>
          <cell r="M39">
            <v>0</v>
          </cell>
          <cell r="O39">
            <v>0</v>
          </cell>
        </row>
        <row r="40">
          <cell r="I40">
            <v>0</v>
          </cell>
          <cell r="L40">
            <v>0</v>
          </cell>
          <cell r="M40">
            <v>0</v>
          </cell>
          <cell r="O40">
            <v>0</v>
          </cell>
        </row>
        <row r="41">
          <cell r="H41">
            <v>0</v>
          </cell>
          <cell r="I41">
            <v>0</v>
          </cell>
          <cell r="K41">
            <v>0</v>
          </cell>
          <cell r="L41">
            <v>0</v>
          </cell>
          <cell r="M41">
            <v>0</v>
          </cell>
          <cell r="O41">
            <v>0</v>
          </cell>
        </row>
        <row r="42">
          <cell r="I42">
            <v>0</v>
          </cell>
          <cell r="L42">
            <v>0</v>
          </cell>
          <cell r="M42">
            <v>0</v>
          </cell>
          <cell r="O42">
            <v>0</v>
          </cell>
        </row>
        <row r="43">
          <cell r="I43">
            <v>0</v>
          </cell>
          <cell r="L43">
            <v>0</v>
          </cell>
          <cell r="M43">
            <v>0</v>
          </cell>
          <cell r="O43">
            <v>0</v>
          </cell>
        </row>
        <row r="44">
          <cell r="I44">
            <v>0</v>
          </cell>
          <cell r="L44">
            <v>0</v>
          </cell>
          <cell r="M44">
            <v>0</v>
          </cell>
          <cell r="O44">
            <v>0</v>
          </cell>
        </row>
        <row r="45">
          <cell r="I45">
            <v>0</v>
          </cell>
          <cell r="L45">
            <v>0</v>
          </cell>
          <cell r="M45">
            <v>0</v>
          </cell>
          <cell r="O45">
            <v>0</v>
          </cell>
        </row>
        <row r="46">
          <cell r="I46">
            <v>0</v>
          </cell>
          <cell r="L46">
            <v>0</v>
          </cell>
          <cell r="M46">
            <v>0</v>
          </cell>
          <cell r="O46">
            <v>0</v>
          </cell>
        </row>
        <row r="47">
          <cell r="F47" t="e">
            <v>#DIV/0!</v>
          </cell>
          <cell r="G47" t="e">
            <v>#DIV/0!</v>
          </cell>
          <cell r="H47">
            <v>0</v>
          </cell>
          <cell r="I47">
            <v>0</v>
          </cell>
          <cell r="K47">
            <v>0</v>
          </cell>
          <cell r="L47">
            <v>0</v>
          </cell>
          <cell r="M47">
            <v>0</v>
          </cell>
          <cell r="N47" t="e">
            <v>#DIV/0!</v>
          </cell>
          <cell r="O47">
            <v>0</v>
          </cell>
        </row>
        <row r="48">
          <cell r="F48" t="e">
            <v>#DIV/0!</v>
          </cell>
          <cell r="G48" t="e">
            <v>#DIV/0!</v>
          </cell>
          <cell r="H48">
            <v>0</v>
          </cell>
          <cell r="I48">
            <v>0</v>
          </cell>
          <cell r="K48">
            <v>0</v>
          </cell>
          <cell r="L48">
            <v>0</v>
          </cell>
          <cell r="M48">
            <v>0</v>
          </cell>
          <cell r="N48" t="e">
            <v>#DIV/0!</v>
          </cell>
          <cell r="O48">
            <v>0</v>
          </cell>
        </row>
        <row r="49">
          <cell r="H49">
            <v>0</v>
          </cell>
          <cell r="I49">
            <v>0</v>
          </cell>
          <cell r="K49">
            <v>0</v>
          </cell>
          <cell r="L49">
            <v>0</v>
          </cell>
          <cell r="M49">
            <v>0</v>
          </cell>
          <cell r="O49">
            <v>0</v>
          </cell>
        </row>
        <row r="50">
          <cell r="I50">
            <v>0</v>
          </cell>
          <cell r="L50">
            <v>0</v>
          </cell>
          <cell r="M50">
            <v>0</v>
          </cell>
          <cell r="O50">
            <v>0</v>
          </cell>
        </row>
        <row r="51">
          <cell r="I51">
            <v>0</v>
          </cell>
          <cell r="L51">
            <v>0</v>
          </cell>
          <cell r="M51">
            <v>0</v>
          </cell>
          <cell r="O51">
            <v>0</v>
          </cell>
        </row>
        <row r="52">
          <cell r="I52">
            <v>0</v>
          </cell>
          <cell r="L52">
            <v>0</v>
          </cell>
          <cell r="M52">
            <v>0</v>
          </cell>
          <cell r="O52">
            <v>0</v>
          </cell>
        </row>
        <row r="53">
          <cell r="I53">
            <v>0</v>
          </cell>
          <cell r="L53">
            <v>0</v>
          </cell>
          <cell r="M53">
            <v>0</v>
          </cell>
          <cell r="O53">
            <v>0</v>
          </cell>
        </row>
        <row r="54">
          <cell r="I54">
            <v>0</v>
          </cell>
          <cell r="L54">
            <v>0</v>
          </cell>
          <cell r="M54">
            <v>0</v>
          </cell>
          <cell r="O54">
            <v>0</v>
          </cell>
        </row>
        <row r="55">
          <cell r="H55">
            <v>0</v>
          </cell>
          <cell r="I55">
            <v>0</v>
          </cell>
          <cell r="K55">
            <v>0</v>
          </cell>
          <cell r="L55">
            <v>0</v>
          </cell>
          <cell r="M55">
            <v>0</v>
          </cell>
          <cell r="O55">
            <v>0</v>
          </cell>
        </row>
        <row r="56">
          <cell r="I56">
            <v>0</v>
          </cell>
          <cell r="L56">
            <v>0</v>
          </cell>
          <cell r="M56">
            <v>0</v>
          </cell>
          <cell r="O56">
            <v>0</v>
          </cell>
        </row>
        <row r="57">
          <cell r="I57">
            <v>0</v>
          </cell>
          <cell r="L57">
            <v>0</v>
          </cell>
          <cell r="M57">
            <v>0</v>
          </cell>
          <cell r="O57">
            <v>0</v>
          </cell>
        </row>
        <row r="58">
          <cell r="I58">
            <v>0</v>
          </cell>
          <cell r="L58">
            <v>0</v>
          </cell>
          <cell r="M58">
            <v>0</v>
          </cell>
          <cell r="O58">
            <v>0</v>
          </cell>
        </row>
        <row r="59">
          <cell r="I59">
            <v>0</v>
          </cell>
          <cell r="L59">
            <v>0</v>
          </cell>
          <cell r="M59">
            <v>0</v>
          </cell>
          <cell r="O59">
            <v>0</v>
          </cell>
        </row>
        <row r="60">
          <cell r="I60">
            <v>0</v>
          </cell>
          <cell r="L60">
            <v>0</v>
          </cell>
          <cell r="M60">
            <v>0</v>
          </cell>
          <cell r="O60">
            <v>0</v>
          </cell>
        </row>
        <row r="61">
          <cell r="H61">
            <v>0</v>
          </cell>
          <cell r="I61">
            <v>0</v>
          </cell>
          <cell r="K61">
            <v>0</v>
          </cell>
          <cell r="L61">
            <v>0</v>
          </cell>
          <cell r="M61">
            <v>0</v>
          </cell>
          <cell r="N61" t="e">
            <v>#DIV/0!</v>
          </cell>
          <cell r="O61">
            <v>0</v>
          </cell>
        </row>
        <row r="62">
          <cell r="I62">
            <v>0</v>
          </cell>
          <cell r="L62">
            <v>0</v>
          </cell>
          <cell r="M62">
            <v>0</v>
          </cell>
          <cell r="O62">
            <v>0</v>
          </cell>
        </row>
        <row r="63">
          <cell r="I63">
            <v>0</v>
          </cell>
          <cell r="L63">
            <v>0</v>
          </cell>
          <cell r="M63">
            <v>0</v>
          </cell>
          <cell r="O63">
            <v>0</v>
          </cell>
        </row>
        <row r="64">
          <cell r="I64">
            <v>0</v>
          </cell>
          <cell r="L64">
            <v>0</v>
          </cell>
          <cell r="M64">
            <v>0</v>
          </cell>
          <cell r="O64">
            <v>0</v>
          </cell>
        </row>
        <row r="65">
          <cell r="I65">
            <v>0</v>
          </cell>
          <cell r="L65">
            <v>0</v>
          </cell>
          <cell r="M65">
            <v>0</v>
          </cell>
          <cell r="O65">
            <v>0</v>
          </cell>
        </row>
        <row r="66">
          <cell r="I66">
            <v>0</v>
          </cell>
          <cell r="L66">
            <v>0</v>
          </cell>
          <cell r="M66">
            <v>0</v>
          </cell>
          <cell r="O66">
            <v>0</v>
          </cell>
        </row>
        <row r="67">
          <cell r="H67">
            <v>0</v>
          </cell>
          <cell r="I67">
            <v>0</v>
          </cell>
          <cell r="K67">
            <v>0</v>
          </cell>
          <cell r="L67">
            <v>0</v>
          </cell>
          <cell r="M67">
            <v>0</v>
          </cell>
          <cell r="N67" t="e">
            <v>#DIV/0!</v>
          </cell>
          <cell r="O67">
            <v>0</v>
          </cell>
        </row>
        <row r="68">
          <cell r="I68">
            <v>0</v>
          </cell>
          <cell r="L68">
            <v>0</v>
          </cell>
          <cell r="M68">
            <v>0</v>
          </cell>
          <cell r="O68">
            <v>0</v>
          </cell>
        </row>
        <row r="69">
          <cell r="I69">
            <v>0</v>
          </cell>
          <cell r="L69">
            <v>0</v>
          </cell>
          <cell r="M69">
            <v>0</v>
          </cell>
          <cell r="O69">
            <v>0</v>
          </cell>
        </row>
        <row r="70">
          <cell r="I70">
            <v>0</v>
          </cell>
          <cell r="L70">
            <v>0</v>
          </cell>
          <cell r="M70">
            <v>0</v>
          </cell>
          <cell r="O70">
            <v>0</v>
          </cell>
        </row>
        <row r="71">
          <cell r="I71">
            <v>0</v>
          </cell>
          <cell r="L71">
            <v>0</v>
          </cell>
          <cell r="M71">
            <v>0</v>
          </cell>
          <cell r="O71">
            <v>0</v>
          </cell>
        </row>
        <row r="72">
          <cell r="I72">
            <v>0</v>
          </cell>
          <cell r="L72">
            <v>0</v>
          </cell>
          <cell r="M72">
            <v>0</v>
          </cell>
          <cell r="O72">
            <v>0</v>
          </cell>
        </row>
        <row r="73">
          <cell r="H73">
            <v>0</v>
          </cell>
          <cell r="I73">
            <v>0</v>
          </cell>
          <cell r="K73">
            <v>0</v>
          </cell>
          <cell r="L73">
            <v>0</v>
          </cell>
          <cell r="M73">
            <v>0</v>
          </cell>
          <cell r="O73">
            <v>0</v>
          </cell>
        </row>
        <row r="74">
          <cell r="I74">
            <v>0</v>
          </cell>
          <cell r="L74">
            <v>0</v>
          </cell>
          <cell r="M74">
            <v>0</v>
          </cell>
          <cell r="O74">
            <v>0</v>
          </cell>
        </row>
        <row r="75">
          <cell r="I75">
            <v>0</v>
          </cell>
          <cell r="L75">
            <v>0</v>
          </cell>
          <cell r="M75">
            <v>0</v>
          </cell>
          <cell r="O75">
            <v>0</v>
          </cell>
        </row>
        <row r="76">
          <cell r="I76">
            <v>0</v>
          </cell>
          <cell r="L76">
            <v>0</v>
          </cell>
          <cell r="M76">
            <v>0</v>
          </cell>
          <cell r="O76">
            <v>0</v>
          </cell>
        </row>
        <row r="77">
          <cell r="I77">
            <v>0</v>
          </cell>
          <cell r="L77">
            <v>0</v>
          </cell>
          <cell r="M77">
            <v>0</v>
          </cell>
          <cell r="O77">
            <v>0</v>
          </cell>
        </row>
        <row r="78">
          <cell r="I78">
            <v>0</v>
          </cell>
          <cell r="L78">
            <v>0</v>
          </cell>
          <cell r="M78">
            <v>0</v>
          </cell>
          <cell r="O78">
            <v>0</v>
          </cell>
        </row>
        <row r="79">
          <cell r="H79">
            <v>0</v>
          </cell>
          <cell r="I79">
            <v>0</v>
          </cell>
          <cell r="K79">
            <v>0</v>
          </cell>
          <cell r="L79">
            <v>0</v>
          </cell>
          <cell r="M79">
            <v>0</v>
          </cell>
          <cell r="O79">
            <v>0</v>
          </cell>
        </row>
        <row r="80">
          <cell r="I80">
            <v>0</v>
          </cell>
          <cell r="L80">
            <v>0</v>
          </cell>
          <cell r="M80">
            <v>0</v>
          </cell>
          <cell r="O80">
            <v>0</v>
          </cell>
        </row>
        <row r="81">
          <cell r="I81">
            <v>0</v>
          </cell>
          <cell r="L81">
            <v>0</v>
          </cell>
          <cell r="M81">
            <v>0</v>
          </cell>
          <cell r="O81">
            <v>0</v>
          </cell>
        </row>
        <row r="82">
          <cell r="I82">
            <v>0</v>
          </cell>
          <cell r="L82">
            <v>0</v>
          </cell>
          <cell r="M82">
            <v>0</v>
          </cell>
          <cell r="O82">
            <v>0</v>
          </cell>
        </row>
        <row r="83">
          <cell r="I83">
            <v>0</v>
          </cell>
          <cell r="L83">
            <v>0</v>
          </cell>
          <cell r="M83">
            <v>0</v>
          </cell>
          <cell r="O83">
            <v>0</v>
          </cell>
        </row>
        <row r="84">
          <cell r="I84">
            <v>0</v>
          </cell>
          <cell r="L84">
            <v>0</v>
          </cell>
          <cell r="M84">
            <v>0</v>
          </cell>
          <cell r="O84">
            <v>0</v>
          </cell>
        </row>
        <row r="85">
          <cell r="H85">
            <v>1881.99</v>
          </cell>
          <cell r="I85">
            <v>1699.7941000000001</v>
          </cell>
          <cell r="K85">
            <v>186.10999999999999</v>
          </cell>
          <cell r="L85">
            <v>46.900499999999994</v>
          </cell>
          <cell r="M85">
            <v>1746.6946</v>
          </cell>
          <cell r="O85">
            <v>2068.1</v>
          </cell>
        </row>
        <row r="86">
          <cell r="F86" t="e">
            <v>#DIV/0!</v>
          </cell>
          <cell r="G86" t="e">
            <v>#DIV/0!</v>
          </cell>
        </row>
        <row r="87">
          <cell r="F87">
            <v>148.63647843395799</v>
          </cell>
          <cell r="G87">
            <v>83.399416791338083</v>
          </cell>
          <cell r="H87">
            <v>1971.85</v>
          </cell>
          <cell r="I87">
            <v>2416.3300399999998</v>
          </cell>
          <cell r="K87">
            <v>276.04999999999995</v>
          </cell>
          <cell r="L87">
            <v>70.472200000000001</v>
          </cell>
          <cell r="M87">
            <v>2486.80224</v>
          </cell>
          <cell r="N87">
            <v>0</v>
          </cell>
          <cell r="O87">
            <v>2247.8999999999996</v>
          </cell>
        </row>
        <row r="88">
          <cell r="F88">
            <v>219.24658886894079</v>
          </cell>
          <cell r="G88">
            <v>123.01850688210652</v>
          </cell>
          <cell r="H88">
            <v>1336.8</v>
          </cell>
          <cell r="I88">
            <v>1312.8645999999999</v>
          </cell>
          <cell r="K88">
            <v>211.29999999999998</v>
          </cell>
          <cell r="L88">
            <v>24.032799999999998</v>
          </cell>
          <cell r="M88">
            <v>1336.8973999999998</v>
          </cell>
          <cell r="N88">
            <v>0</v>
          </cell>
          <cell r="O88">
            <v>1548.1</v>
          </cell>
        </row>
        <row r="89">
          <cell r="H89">
            <v>1286.23</v>
          </cell>
          <cell r="I89">
            <v>1244.8103999999998</v>
          </cell>
          <cell r="K89">
            <v>194.89</v>
          </cell>
          <cell r="L89">
            <v>12.6762</v>
          </cell>
          <cell r="M89">
            <v>1257.4866</v>
          </cell>
          <cell r="O89">
            <v>1481.12</v>
          </cell>
        </row>
        <row r="90">
          <cell r="I90">
            <v>0</v>
          </cell>
          <cell r="J90">
            <v>122.45744917478537</v>
          </cell>
          <cell r="L90">
            <v>0</v>
          </cell>
          <cell r="M90">
            <v>0</v>
          </cell>
          <cell r="O90">
            <v>0</v>
          </cell>
        </row>
        <row r="91">
          <cell r="G91">
            <v>112.15273612908135</v>
          </cell>
          <cell r="I91">
            <v>0</v>
          </cell>
          <cell r="J91">
            <v>196.47121898206851</v>
          </cell>
          <cell r="L91">
            <v>0</v>
          </cell>
          <cell r="M91">
            <v>0</v>
          </cell>
          <cell r="O91">
            <v>0</v>
          </cell>
        </row>
        <row r="92">
          <cell r="I92">
            <v>0</v>
          </cell>
          <cell r="L92">
            <v>0</v>
          </cell>
          <cell r="M92">
            <v>0</v>
          </cell>
          <cell r="O92">
            <v>0</v>
          </cell>
        </row>
        <row r="93">
          <cell r="F93">
            <v>222</v>
          </cell>
          <cell r="G93">
            <v>126</v>
          </cell>
          <cell r="H93">
            <v>1270.31</v>
          </cell>
          <cell r="I93">
            <v>1219.4975999999999</v>
          </cell>
          <cell r="J93">
            <v>222</v>
          </cell>
          <cell r="K93">
            <v>183.47</v>
          </cell>
          <cell r="L93">
            <v>0</v>
          </cell>
          <cell r="M93">
            <v>1219.4975999999999</v>
          </cell>
          <cell r="O93">
            <v>1453.78</v>
          </cell>
        </row>
        <row r="94">
          <cell r="F94">
            <v>222</v>
          </cell>
          <cell r="G94">
            <v>63</v>
          </cell>
          <cell r="H94">
            <v>15.92</v>
          </cell>
          <cell r="I94">
            <v>25.312800000000003</v>
          </cell>
          <cell r="J94">
            <v>111</v>
          </cell>
          <cell r="K94">
            <v>11.42</v>
          </cell>
          <cell r="L94">
            <v>12.6762</v>
          </cell>
          <cell r="M94">
            <v>37.989000000000004</v>
          </cell>
          <cell r="O94">
            <v>27.34</v>
          </cell>
        </row>
        <row r="95">
          <cell r="H95">
            <v>50.569999999999993</v>
          </cell>
          <cell r="I95">
            <v>68.054200000000009</v>
          </cell>
          <cell r="K95">
            <v>16.41</v>
          </cell>
          <cell r="L95">
            <v>11.356599999999998</v>
          </cell>
          <cell r="M95">
            <v>79.410800000000009</v>
          </cell>
          <cell r="O95">
            <v>66.97999999999999</v>
          </cell>
        </row>
        <row r="96"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I97">
            <v>0</v>
          </cell>
          <cell r="L97">
            <v>0</v>
          </cell>
          <cell r="M97">
            <v>0</v>
          </cell>
          <cell r="O97">
            <v>0</v>
          </cell>
        </row>
        <row r="98">
          <cell r="I98">
            <v>0</v>
          </cell>
          <cell r="L98">
            <v>0</v>
          </cell>
          <cell r="M98">
            <v>0</v>
          </cell>
          <cell r="O98">
            <v>0</v>
          </cell>
        </row>
        <row r="99">
          <cell r="F99">
            <v>222</v>
          </cell>
          <cell r="G99">
            <v>88</v>
          </cell>
          <cell r="H99">
            <v>49.91</v>
          </cell>
          <cell r="I99">
            <v>66.879400000000004</v>
          </cell>
          <cell r="J99">
            <v>155</v>
          </cell>
          <cell r="K99">
            <v>15.94</v>
          </cell>
          <cell r="L99">
            <v>10.679799999999998</v>
          </cell>
          <cell r="M99">
            <v>77.559200000000004</v>
          </cell>
          <cell r="O99">
            <v>65.849999999999994</v>
          </cell>
        </row>
        <row r="100">
          <cell r="F100">
            <v>222</v>
          </cell>
          <cell r="G100">
            <v>44</v>
          </cell>
          <cell r="H100">
            <v>0.66</v>
          </cell>
          <cell r="I100">
            <v>1.1748000000000001</v>
          </cell>
          <cell r="J100">
            <v>78</v>
          </cell>
          <cell r="K100">
            <v>0.47</v>
          </cell>
          <cell r="L100">
            <v>0.67679999999999985</v>
          </cell>
          <cell r="M100">
            <v>1.8515999999999999</v>
          </cell>
          <cell r="O100">
            <v>1.1299999999999999</v>
          </cell>
        </row>
        <row r="101">
          <cell r="H101">
            <v>634.04999999999995</v>
          </cell>
          <cell r="I101">
            <v>852.0601999999999</v>
          </cell>
          <cell r="K101">
            <v>64.75</v>
          </cell>
          <cell r="L101">
            <v>46.439399999999999</v>
          </cell>
          <cell r="M101">
            <v>898.49959999999999</v>
          </cell>
          <cell r="N101">
            <v>0</v>
          </cell>
          <cell r="O101">
            <v>65.849999999999994</v>
          </cell>
        </row>
        <row r="102">
          <cell r="I102">
            <v>0</v>
          </cell>
          <cell r="L102">
            <v>0</v>
          </cell>
          <cell r="M102">
            <v>0</v>
          </cell>
          <cell r="O102">
            <v>0</v>
          </cell>
        </row>
        <row r="103">
          <cell r="I103">
            <v>0</v>
          </cell>
          <cell r="L103">
            <v>0</v>
          </cell>
          <cell r="M103">
            <v>0</v>
          </cell>
          <cell r="O103">
            <v>0</v>
          </cell>
        </row>
        <row r="104">
          <cell r="I104">
            <v>0</v>
          </cell>
          <cell r="L104">
            <v>0</v>
          </cell>
          <cell r="M104">
            <v>0</v>
          </cell>
          <cell r="O104">
            <v>0</v>
          </cell>
        </row>
        <row r="105">
          <cell r="F105">
            <v>222</v>
          </cell>
          <cell r="G105">
            <v>88</v>
          </cell>
          <cell r="H105">
            <v>628.52</v>
          </cell>
          <cell r="I105">
            <v>842.21679999999992</v>
          </cell>
          <cell r="J105">
            <v>155</v>
          </cell>
          <cell r="K105">
            <v>60.78</v>
          </cell>
          <cell r="L105">
            <v>40.7226</v>
          </cell>
          <cell r="M105">
            <v>882.93939999999998</v>
          </cell>
          <cell r="O105">
            <v>689.3</v>
          </cell>
        </row>
        <row r="106">
          <cell r="F106">
            <v>222</v>
          </cell>
          <cell r="G106">
            <v>44</v>
          </cell>
          <cell r="H106">
            <v>5.53</v>
          </cell>
          <cell r="I106">
            <v>9.8434000000000008</v>
          </cell>
          <cell r="J106">
            <v>78</v>
          </cell>
          <cell r="K106">
            <v>3.97</v>
          </cell>
          <cell r="L106">
            <v>5.7168000000000001</v>
          </cell>
          <cell r="M106">
            <v>15.560200000000002</v>
          </cell>
          <cell r="O106">
            <v>9.5</v>
          </cell>
        </row>
        <row r="107">
          <cell r="H107">
            <v>1</v>
          </cell>
          <cell r="I107">
            <v>251.40524000000002</v>
          </cell>
          <cell r="K107">
            <v>0</v>
          </cell>
          <cell r="L107">
            <v>0</v>
          </cell>
          <cell r="M107">
            <v>251.40524000000002</v>
          </cell>
          <cell r="N107">
            <v>0</v>
          </cell>
          <cell r="O107">
            <v>689.3</v>
          </cell>
        </row>
        <row r="108">
          <cell r="I108">
            <v>0</v>
          </cell>
          <cell r="L108">
            <v>0</v>
          </cell>
          <cell r="M108">
            <v>0</v>
          </cell>
          <cell r="O108">
            <v>0</v>
          </cell>
        </row>
        <row r="109">
          <cell r="I109">
            <v>0</v>
          </cell>
          <cell r="L109">
            <v>0</v>
          </cell>
          <cell r="M109">
            <v>0</v>
          </cell>
          <cell r="O109">
            <v>0</v>
          </cell>
        </row>
        <row r="110">
          <cell r="I110">
            <v>0</v>
          </cell>
          <cell r="L110">
            <v>0</v>
          </cell>
          <cell r="M110">
            <v>0</v>
          </cell>
          <cell r="O110">
            <v>0</v>
          </cell>
        </row>
        <row r="111">
          <cell r="I111">
            <v>0</v>
          </cell>
          <cell r="L111">
            <v>0</v>
          </cell>
          <cell r="M111">
            <v>0</v>
          </cell>
          <cell r="O111">
            <v>0</v>
          </cell>
        </row>
        <row r="112">
          <cell r="F112">
            <v>25140.524000000001</v>
          </cell>
          <cell r="H112">
            <v>1</v>
          </cell>
          <cell r="I112">
            <v>251.40524000000002</v>
          </cell>
          <cell r="L112">
            <v>0</v>
          </cell>
          <cell r="M112">
            <v>251.40524000000002</v>
          </cell>
          <cell r="O112">
            <v>1</v>
          </cell>
        </row>
        <row r="113">
          <cell r="H113">
            <v>0</v>
          </cell>
          <cell r="I113">
            <v>0</v>
          </cell>
          <cell r="K113">
            <v>0</v>
          </cell>
          <cell r="L113">
            <v>0</v>
          </cell>
          <cell r="M113">
            <v>0</v>
          </cell>
          <cell r="O113">
            <v>0</v>
          </cell>
        </row>
        <row r="114">
          <cell r="I114">
            <v>0</v>
          </cell>
          <cell r="L114">
            <v>0</v>
          </cell>
          <cell r="M114">
            <v>0</v>
          </cell>
          <cell r="O114">
            <v>0</v>
          </cell>
        </row>
        <row r="115">
          <cell r="I115">
            <v>0</v>
          </cell>
          <cell r="L115">
            <v>0</v>
          </cell>
          <cell r="M115">
            <v>0</v>
          </cell>
          <cell r="O115">
            <v>0</v>
          </cell>
        </row>
        <row r="116">
          <cell r="I116">
            <v>0</v>
          </cell>
          <cell r="L116">
            <v>0</v>
          </cell>
          <cell r="M116">
            <v>0</v>
          </cell>
          <cell r="O116">
            <v>0</v>
          </cell>
        </row>
        <row r="117">
          <cell r="I117">
            <v>0</v>
          </cell>
          <cell r="L117">
            <v>0</v>
          </cell>
          <cell r="M117">
            <v>0</v>
          </cell>
          <cell r="O117">
            <v>0</v>
          </cell>
        </row>
        <row r="118">
          <cell r="I118">
            <v>0</v>
          </cell>
          <cell r="L118">
            <v>0</v>
          </cell>
          <cell r="M118">
            <v>0</v>
          </cell>
          <cell r="O118">
            <v>0</v>
          </cell>
        </row>
        <row r="119">
          <cell r="H119">
            <v>0</v>
          </cell>
          <cell r="I119">
            <v>0</v>
          </cell>
          <cell r="K119">
            <v>0</v>
          </cell>
          <cell r="L119">
            <v>0</v>
          </cell>
          <cell r="M119">
            <v>0</v>
          </cell>
          <cell r="O119">
            <v>0</v>
          </cell>
        </row>
        <row r="120">
          <cell r="L120">
            <v>0</v>
          </cell>
          <cell r="M120">
            <v>0</v>
          </cell>
          <cell r="O120">
            <v>0</v>
          </cell>
        </row>
        <row r="121">
          <cell r="I121">
            <v>0</v>
          </cell>
          <cell r="L121">
            <v>0</v>
          </cell>
          <cell r="M121">
            <v>0</v>
          </cell>
          <cell r="O121">
            <v>0</v>
          </cell>
        </row>
        <row r="122">
          <cell r="I122">
            <v>0</v>
          </cell>
          <cell r="L122">
            <v>0</v>
          </cell>
          <cell r="M122">
            <v>0</v>
          </cell>
          <cell r="O122">
            <v>0</v>
          </cell>
        </row>
        <row r="123">
          <cell r="I123">
            <v>0</v>
          </cell>
          <cell r="L123">
            <v>0</v>
          </cell>
          <cell r="M123">
            <v>0</v>
          </cell>
          <cell r="O123">
            <v>0</v>
          </cell>
        </row>
        <row r="124">
          <cell r="I124">
            <v>0</v>
          </cell>
          <cell r="L124">
            <v>0</v>
          </cell>
          <cell r="M124">
            <v>0</v>
          </cell>
          <cell r="O124">
            <v>0</v>
          </cell>
        </row>
        <row r="125">
          <cell r="F125" t="e">
            <v>#DIV/0!</v>
          </cell>
          <cell r="G125" t="e">
            <v>#DIV/0!</v>
          </cell>
          <cell r="H125">
            <v>0</v>
          </cell>
          <cell r="I125">
            <v>0</v>
          </cell>
          <cell r="K125">
            <v>0</v>
          </cell>
          <cell r="L125">
            <v>0</v>
          </cell>
          <cell r="M125">
            <v>0</v>
          </cell>
          <cell r="N125" t="e">
            <v>#DIV/0!</v>
          </cell>
          <cell r="O125">
            <v>0</v>
          </cell>
        </row>
        <row r="126">
          <cell r="F126" t="e">
            <v>#DIV/0!</v>
          </cell>
          <cell r="G126" t="e">
            <v>#DIV/0!</v>
          </cell>
          <cell r="H126">
            <v>0</v>
          </cell>
          <cell r="I126">
            <v>0</v>
          </cell>
          <cell r="K126">
            <v>0</v>
          </cell>
          <cell r="L126">
            <v>0</v>
          </cell>
          <cell r="M126">
            <v>0</v>
          </cell>
          <cell r="N126" t="e">
            <v>#DIV/0!</v>
          </cell>
          <cell r="O126">
            <v>0</v>
          </cell>
        </row>
        <row r="127">
          <cell r="H127">
            <v>0</v>
          </cell>
          <cell r="I127">
            <v>0</v>
          </cell>
          <cell r="K127">
            <v>0</v>
          </cell>
          <cell r="L127">
            <v>0</v>
          </cell>
          <cell r="M127">
            <v>0</v>
          </cell>
          <cell r="O127">
            <v>0</v>
          </cell>
        </row>
        <row r="128">
          <cell r="I128">
            <v>0</v>
          </cell>
          <cell r="L128">
            <v>0</v>
          </cell>
          <cell r="M128">
            <v>0</v>
          </cell>
          <cell r="O128">
            <v>0</v>
          </cell>
        </row>
        <row r="129">
          <cell r="I129">
            <v>0</v>
          </cell>
          <cell r="L129">
            <v>0</v>
          </cell>
          <cell r="M129">
            <v>0</v>
          </cell>
          <cell r="O129">
            <v>0</v>
          </cell>
        </row>
        <row r="130">
          <cell r="I130">
            <v>0</v>
          </cell>
          <cell r="L130">
            <v>0</v>
          </cell>
          <cell r="M130">
            <v>0</v>
          </cell>
          <cell r="O130">
            <v>0</v>
          </cell>
        </row>
        <row r="131">
          <cell r="I131">
            <v>0</v>
          </cell>
          <cell r="L131">
            <v>0</v>
          </cell>
          <cell r="M131">
            <v>0</v>
          </cell>
          <cell r="O131">
            <v>0</v>
          </cell>
        </row>
        <row r="132">
          <cell r="I132">
            <v>0</v>
          </cell>
          <cell r="L132">
            <v>0</v>
          </cell>
          <cell r="M132">
            <v>0</v>
          </cell>
          <cell r="O132">
            <v>0</v>
          </cell>
        </row>
        <row r="133">
          <cell r="H133">
            <v>0</v>
          </cell>
          <cell r="I133">
            <v>0</v>
          </cell>
          <cell r="K133">
            <v>0</v>
          </cell>
          <cell r="L133">
            <v>0</v>
          </cell>
          <cell r="M133">
            <v>0</v>
          </cell>
          <cell r="O133">
            <v>0</v>
          </cell>
        </row>
        <row r="134">
          <cell r="I134">
            <v>0</v>
          </cell>
          <cell r="L134">
            <v>0</v>
          </cell>
          <cell r="M134">
            <v>0</v>
          </cell>
          <cell r="O134">
            <v>0</v>
          </cell>
        </row>
        <row r="135">
          <cell r="I135">
            <v>0</v>
          </cell>
          <cell r="L135">
            <v>0</v>
          </cell>
          <cell r="M135">
            <v>0</v>
          </cell>
          <cell r="O135">
            <v>0</v>
          </cell>
        </row>
        <row r="136">
          <cell r="I136">
            <v>0</v>
          </cell>
          <cell r="L136">
            <v>0</v>
          </cell>
          <cell r="M136">
            <v>0</v>
          </cell>
          <cell r="O136">
            <v>0</v>
          </cell>
        </row>
        <row r="137">
          <cell r="I137">
            <v>0</v>
          </cell>
          <cell r="L137">
            <v>0</v>
          </cell>
          <cell r="M137">
            <v>0</v>
          </cell>
          <cell r="O137">
            <v>0</v>
          </cell>
        </row>
        <row r="138">
          <cell r="I138">
            <v>0</v>
          </cell>
          <cell r="L138">
            <v>0</v>
          </cell>
          <cell r="M138">
            <v>0</v>
          </cell>
          <cell r="O138">
            <v>0</v>
          </cell>
        </row>
        <row r="139">
          <cell r="H139">
            <v>0</v>
          </cell>
          <cell r="I139">
            <v>0</v>
          </cell>
          <cell r="K139">
            <v>0</v>
          </cell>
          <cell r="L139">
            <v>0</v>
          </cell>
          <cell r="M139">
            <v>0</v>
          </cell>
          <cell r="N139" t="e">
            <v>#DIV/0!</v>
          </cell>
          <cell r="O139">
            <v>0</v>
          </cell>
        </row>
        <row r="140">
          <cell r="I140">
            <v>0</v>
          </cell>
          <cell r="L140">
            <v>0</v>
          </cell>
          <cell r="M140">
            <v>0</v>
          </cell>
          <cell r="O140">
            <v>0</v>
          </cell>
        </row>
        <row r="141">
          <cell r="I141">
            <v>0</v>
          </cell>
          <cell r="L141">
            <v>0</v>
          </cell>
          <cell r="M141">
            <v>0</v>
          </cell>
          <cell r="O141">
            <v>0</v>
          </cell>
        </row>
        <row r="142">
          <cell r="I142">
            <v>0</v>
          </cell>
          <cell r="L142">
            <v>0</v>
          </cell>
          <cell r="M142">
            <v>0</v>
          </cell>
          <cell r="O142">
            <v>0</v>
          </cell>
        </row>
        <row r="143">
          <cell r="I143">
            <v>0</v>
          </cell>
          <cell r="L143">
            <v>0</v>
          </cell>
          <cell r="M143">
            <v>0</v>
          </cell>
          <cell r="O143">
            <v>0</v>
          </cell>
        </row>
        <row r="144">
          <cell r="I144">
            <v>0</v>
          </cell>
          <cell r="L144">
            <v>0</v>
          </cell>
          <cell r="M144">
            <v>0</v>
          </cell>
          <cell r="O144">
            <v>0</v>
          </cell>
        </row>
        <row r="145">
          <cell r="H145">
            <v>0</v>
          </cell>
          <cell r="I145">
            <v>0</v>
          </cell>
          <cell r="K145">
            <v>0</v>
          </cell>
          <cell r="L145">
            <v>0</v>
          </cell>
          <cell r="M145">
            <v>0</v>
          </cell>
          <cell r="N145" t="e">
            <v>#DIV/0!</v>
          </cell>
          <cell r="O145">
            <v>0</v>
          </cell>
        </row>
        <row r="146">
          <cell r="I146">
            <v>0</v>
          </cell>
          <cell r="L146">
            <v>0</v>
          </cell>
          <cell r="M146">
            <v>0</v>
          </cell>
          <cell r="O146">
            <v>0</v>
          </cell>
        </row>
        <row r="147">
          <cell r="I147">
            <v>0</v>
          </cell>
          <cell r="L147">
            <v>0</v>
          </cell>
          <cell r="M147">
            <v>0</v>
          </cell>
          <cell r="O147">
            <v>0</v>
          </cell>
        </row>
        <row r="148">
          <cell r="I148">
            <v>0</v>
          </cell>
          <cell r="L148">
            <v>0</v>
          </cell>
          <cell r="M148">
            <v>0</v>
          </cell>
          <cell r="O148">
            <v>0</v>
          </cell>
        </row>
        <row r="149">
          <cell r="I149">
            <v>0</v>
          </cell>
          <cell r="L149">
            <v>0</v>
          </cell>
          <cell r="M149">
            <v>0</v>
          </cell>
          <cell r="O149">
            <v>0</v>
          </cell>
        </row>
        <row r="150">
          <cell r="I150">
            <v>0</v>
          </cell>
          <cell r="L150">
            <v>0</v>
          </cell>
          <cell r="M150">
            <v>0</v>
          </cell>
          <cell r="O150">
            <v>0</v>
          </cell>
        </row>
        <row r="151">
          <cell r="H151">
            <v>0</v>
          </cell>
          <cell r="I151">
            <v>0</v>
          </cell>
          <cell r="K151">
            <v>0</v>
          </cell>
          <cell r="L151">
            <v>0</v>
          </cell>
          <cell r="M151">
            <v>0</v>
          </cell>
          <cell r="O151">
            <v>0</v>
          </cell>
        </row>
        <row r="152">
          <cell r="I152">
            <v>0</v>
          </cell>
          <cell r="L152">
            <v>0</v>
          </cell>
          <cell r="M152">
            <v>0</v>
          </cell>
          <cell r="O152">
            <v>0</v>
          </cell>
        </row>
        <row r="153">
          <cell r="I153">
            <v>0</v>
          </cell>
          <cell r="L153">
            <v>0</v>
          </cell>
          <cell r="M153">
            <v>0</v>
          </cell>
          <cell r="O153">
            <v>0</v>
          </cell>
        </row>
        <row r="154">
          <cell r="I154">
            <v>0</v>
          </cell>
          <cell r="L154">
            <v>0</v>
          </cell>
          <cell r="M154">
            <v>0</v>
          </cell>
          <cell r="O154">
            <v>0</v>
          </cell>
        </row>
        <row r="155">
          <cell r="I155">
            <v>0</v>
          </cell>
          <cell r="L155">
            <v>0</v>
          </cell>
          <cell r="M155">
            <v>0</v>
          </cell>
          <cell r="O155">
            <v>0</v>
          </cell>
        </row>
        <row r="156">
          <cell r="I156">
            <v>0</v>
          </cell>
          <cell r="L156">
            <v>0</v>
          </cell>
          <cell r="M156">
            <v>0</v>
          </cell>
          <cell r="O156">
            <v>0</v>
          </cell>
        </row>
        <row r="157">
          <cell r="H157">
            <v>0</v>
          </cell>
          <cell r="I157">
            <v>0</v>
          </cell>
          <cell r="K157">
            <v>0</v>
          </cell>
          <cell r="L157">
            <v>0</v>
          </cell>
          <cell r="M157">
            <v>0</v>
          </cell>
          <cell r="O157">
            <v>0</v>
          </cell>
        </row>
        <row r="158">
          <cell r="I158">
            <v>0</v>
          </cell>
          <cell r="L158">
            <v>0</v>
          </cell>
          <cell r="M158">
            <v>0</v>
          </cell>
          <cell r="O158">
            <v>0</v>
          </cell>
        </row>
        <row r="159">
          <cell r="I159">
            <v>0</v>
          </cell>
          <cell r="L159">
            <v>0</v>
          </cell>
          <cell r="M159">
            <v>0</v>
          </cell>
          <cell r="O159">
            <v>0</v>
          </cell>
        </row>
        <row r="160">
          <cell r="I160">
            <v>0</v>
          </cell>
          <cell r="L160">
            <v>0</v>
          </cell>
          <cell r="M160">
            <v>0</v>
          </cell>
          <cell r="O160">
            <v>0</v>
          </cell>
        </row>
        <row r="161">
          <cell r="I161">
            <v>0</v>
          </cell>
          <cell r="L161">
            <v>0</v>
          </cell>
          <cell r="M161">
            <v>0</v>
          </cell>
          <cell r="O161">
            <v>0</v>
          </cell>
        </row>
        <row r="162">
          <cell r="I162">
            <v>0</v>
          </cell>
          <cell r="L162">
            <v>0</v>
          </cell>
          <cell r="M162">
            <v>0</v>
          </cell>
          <cell r="O162">
            <v>0</v>
          </cell>
        </row>
        <row r="163">
          <cell r="H163">
            <v>1971.85</v>
          </cell>
          <cell r="I163">
            <v>2416.3300399999998</v>
          </cell>
          <cell r="K163">
            <v>276.04999999999995</v>
          </cell>
          <cell r="L163">
            <v>70.472200000000001</v>
          </cell>
          <cell r="M163">
            <v>2486.80224</v>
          </cell>
          <cell r="O163">
            <v>2247.8999999999996</v>
          </cell>
        </row>
      </sheetData>
      <sheetData sheetId="24" refreshError="1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Заголовок"/>
      <sheetName val="Содержание"/>
      <sheetName val="3"/>
      <sheetName val="5"/>
      <sheetName val="4"/>
      <sheetName val="6"/>
      <sheetName val="Списки"/>
      <sheetName val="15"/>
      <sheetName val="16"/>
      <sheetName val="17"/>
      <sheetName val="17.1"/>
      <sheetName val="18.2"/>
      <sheetName val="20"/>
      <sheetName val="20.1"/>
      <sheetName val="21.3"/>
      <sheetName val="24"/>
      <sheetName val="25"/>
      <sheetName val="27"/>
      <sheetName val="P2.1"/>
      <sheetName val="P2.2"/>
      <sheetName val="свод"/>
      <sheetName val="2.3"/>
      <sheetName val="перекрестка"/>
    </sheetNames>
    <sheetDataSet>
      <sheetData sheetId="0" refreshError="1">
        <row r="21">
          <cell r="B21" t="str">
            <v>EXP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аврическая"/>
      <sheetName val="иртышская"/>
      <sheetName val="сибирь"/>
      <sheetName val="заря"/>
      <sheetName val="Межгосударственные"/>
      <sheetName val="СН"/>
      <sheetName val="Вспомогательный"/>
      <sheetName val="Баланс_по_ТЭЦ-1"/>
      <sheetName val="Настройки"/>
      <sheetName val="жилой фонд"/>
      <sheetName val="2002(v1)"/>
      <sheetName val="Расчеты с потребителями"/>
      <sheetName val="Справочники"/>
      <sheetName val="29"/>
      <sheetName val="20"/>
      <sheetName val="21"/>
      <sheetName val="23"/>
      <sheetName val="25"/>
      <sheetName val="26"/>
      <sheetName val="27"/>
      <sheetName val="28"/>
      <sheetName val="19"/>
      <sheetName val="22"/>
      <sheetName val="24"/>
      <sheetName val="ИТОГИ  по Н,Р,Э,Q"/>
      <sheetName val="Заголовок"/>
      <sheetName val="Служебный лист"/>
      <sheetName val="Лист1"/>
      <sheetName val="Приложение 22"/>
      <sheetName val="08.14"/>
      <sheetName val="жилой_фонд"/>
      <sheetName val="Расчеты_с_потребителями"/>
      <sheetName val="ИТОГИ__по_Н,Р,Э,Q"/>
      <sheetName val="Служебный_лист"/>
      <sheetName val="Akt_12"/>
      <sheetName val="СПР"/>
      <sheetName val="Проверки и бу бд"/>
      <sheetName val="списки"/>
      <sheetName val="11.09-15.09"/>
      <sheetName val="Лист2"/>
      <sheetName val="жилой_фонд1"/>
      <sheetName val="Расчеты_с_потребителями1"/>
      <sheetName val="ИТОГИ__по_Н,Р,Э,Q1"/>
      <sheetName val="Служебный_лист1"/>
      <sheetName val="Приложение_22"/>
      <sheetName val="08_14"/>
      <sheetName val="Проверки_и_бу_бд"/>
      <sheetName val="11_09-15_09"/>
      <sheetName val="Лист"/>
      <sheetName val="FST5"/>
      <sheetName val="TEHSHEET"/>
      <sheetName val="Таб1.1"/>
      <sheetName val="жилой_фонд2"/>
      <sheetName val="Расчеты_с_потребителями2"/>
      <sheetName val="ИТОГИ__по_Н,Р,Э,Q2"/>
      <sheetName val="Служебный_лист2"/>
      <sheetName val="Приложение_221"/>
      <sheetName val="08_141"/>
      <sheetName val="Проверки_и_бу_бд1"/>
      <sheetName val="11_09-15_091"/>
      <sheetName val="Таб1_1"/>
      <sheetName val="жилой_фонд3"/>
      <sheetName val="Расчеты_с_потребителями3"/>
      <sheetName val="ИТОГИ__по_Н,Р,Э,Q3"/>
      <sheetName val="Служебный_лист3"/>
      <sheetName val="Приложение_222"/>
      <sheetName val="08_142"/>
      <sheetName val="Проверки_и_бу_бд2"/>
      <sheetName val="11_09-15_092"/>
      <sheetName val="Таб1_11"/>
    </sheetNames>
    <sheetDataSet>
      <sheetData sheetId="0" refreshError="1">
        <row r="4">
          <cell r="A4" t="str">
            <v>ВЛ-555_к_шинам</v>
          </cell>
          <cell r="B4">
            <v>1045351</v>
          </cell>
          <cell r="C4">
            <v>3498263.6</v>
          </cell>
          <cell r="D4">
            <v>3643306.8</v>
          </cell>
          <cell r="E4">
            <v>3644062.8</v>
          </cell>
          <cell r="F4">
            <v>1</v>
          </cell>
          <cell r="G4">
            <v>145043.19999999972</v>
          </cell>
        </row>
        <row r="5">
          <cell r="A5" t="str">
            <v>ВЛ-555_от_шин</v>
          </cell>
          <cell r="B5">
            <v>1045351</v>
          </cell>
          <cell r="C5">
            <v>92864</v>
          </cell>
          <cell r="D5">
            <v>96160.8</v>
          </cell>
          <cell r="E5">
            <v>96160.8</v>
          </cell>
          <cell r="F5">
            <v>1</v>
          </cell>
          <cell r="G5">
            <v>3296.8000000000029</v>
          </cell>
        </row>
        <row r="6">
          <cell r="A6" t="str">
            <v>ВЛ-556_к_шинам</v>
          </cell>
          <cell r="B6">
            <v>1045348</v>
          </cell>
          <cell r="C6">
            <v>484358</v>
          </cell>
          <cell r="D6">
            <v>491984</v>
          </cell>
          <cell r="E6">
            <v>491984</v>
          </cell>
          <cell r="F6">
            <v>1</v>
          </cell>
          <cell r="G6">
            <v>7626</v>
          </cell>
        </row>
        <row r="7">
          <cell r="A7" t="str">
            <v>ВЛ-556_от_шин</v>
          </cell>
          <cell r="B7">
            <v>1045348</v>
          </cell>
          <cell r="C7">
            <v>2351347.2000000002</v>
          </cell>
          <cell r="D7">
            <v>2488028</v>
          </cell>
          <cell r="E7">
            <v>2489116.7999999998</v>
          </cell>
          <cell r="F7">
            <v>1</v>
          </cell>
          <cell r="G7">
            <v>136680.79999999981</v>
          </cell>
        </row>
        <row r="8">
          <cell r="A8" t="str">
            <v>ВЛ-557_к_шинам</v>
          </cell>
          <cell r="B8">
            <v>1045355</v>
          </cell>
          <cell r="C8">
            <v>2705150.4</v>
          </cell>
          <cell r="D8">
            <v>2852926.8</v>
          </cell>
          <cell r="E8">
            <v>2853486</v>
          </cell>
          <cell r="F8">
            <v>1</v>
          </cell>
          <cell r="G8">
            <v>147776.39999999991</v>
          </cell>
        </row>
        <row r="9">
          <cell r="A9" t="str">
            <v>ВЛ-557_от_шин</v>
          </cell>
          <cell r="B9">
            <v>1045355</v>
          </cell>
          <cell r="C9">
            <v>10024</v>
          </cell>
          <cell r="D9">
            <v>10024</v>
          </cell>
          <cell r="E9">
            <v>10024</v>
          </cell>
          <cell r="F9">
            <v>1</v>
          </cell>
          <cell r="G9">
            <v>0</v>
          </cell>
        </row>
        <row r="10">
          <cell r="A10" t="str">
            <v>Д-11_к_шинам</v>
          </cell>
          <cell r="B10">
            <v>1045338</v>
          </cell>
          <cell r="C10">
            <v>1248.7</v>
          </cell>
          <cell r="D10">
            <v>1303.0999999999999</v>
          </cell>
          <cell r="E10">
            <v>1303.0999999999999</v>
          </cell>
          <cell r="F10">
            <v>1</v>
          </cell>
          <cell r="G10">
            <v>54.399999999999864</v>
          </cell>
        </row>
        <row r="11">
          <cell r="A11" t="str">
            <v>Д-11_от_шин</v>
          </cell>
          <cell r="B11">
            <v>1045338</v>
          </cell>
          <cell r="C11">
            <v>1010613.2</v>
          </cell>
          <cell r="D11">
            <v>1051197.8999999999</v>
          </cell>
          <cell r="E11">
            <v>1051265.8</v>
          </cell>
          <cell r="F11">
            <v>1</v>
          </cell>
          <cell r="G11">
            <v>40584.699999999953</v>
          </cell>
        </row>
        <row r="12">
          <cell r="A12" t="str">
            <v>Д-12_к_шинам</v>
          </cell>
          <cell r="B12">
            <v>1045341</v>
          </cell>
          <cell r="C12">
            <v>1327.8</v>
          </cell>
          <cell r="D12">
            <v>1386.2</v>
          </cell>
          <cell r="E12">
            <v>1386.2</v>
          </cell>
          <cell r="F12">
            <v>1</v>
          </cell>
          <cell r="G12">
            <v>58.400000000000091</v>
          </cell>
        </row>
        <row r="13">
          <cell r="A13" t="str">
            <v>Д-12_от_шин</v>
          </cell>
          <cell r="B13">
            <v>1045341</v>
          </cell>
          <cell r="C13">
            <v>1079770.5</v>
          </cell>
          <cell r="D13">
            <v>1120265.3</v>
          </cell>
          <cell r="E13">
            <v>1120332.5</v>
          </cell>
          <cell r="F13">
            <v>1</v>
          </cell>
          <cell r="G13">
            <v>40494.800000000047</v>
          </cell>
        </row>
        <row r="14">
          <cell r="A14" t="str">
            <v>Д-13_к_шинам</v>
          </cell>
          <cell r="B14">
            <v>1045339</v>
          </cell>
          <cell r="C14">
            <v>6246.4</v>
          </cell>
          <cell r="D14">
            <v>6419.8</v>
          </cell>
          <cell r="E14">
            <v>6420</v>
          </cell>
          <cell r="F14">
            <v>1</v>
          </cell>
          <cell r="G14">
            <v>173.40000000000055</v>
          </cell>
        </row>
        <row r="15">
          <cell r="A15" t="str">
            <v>Д-13_от_шин</v>
          </cell>
          <cell r="B15">
            <v>1045339</v>
          </cell>
          <cell r="C15">
            <v>633991.4</v>
          </cell>
          <cell r="D15">
            <v>659412.1</v>
          </cell>
          <cell r="E15">
            <v>659436</v>
          </cell>
          <cell r="F15">
            <v>1</v>
          </cell>
          <cell r="G15">
            <v>25420.699999999953</v>
          </cell>
        </row>
        <row r="16">
          <cell r="A16" t="str">
            <v>Д-14_к_шинам</v>
          </cell>
          <cell r="B16">
            <v>1045340</v>
          </cell>
          <cell r="C16">
            <v>6262.9</v>
          </cell>
          <cell r="D16">
            <v>6437.1</v>
          </cell>
          <cell r="E16">
            <v>6437.4</v>
          </cell>
          <cell r="F16">
            <v>1</v>
          </cell>
          <cell r="G16">
            <v>174.20000000000073</v>
          </cell>
        </row>
        <row r="17">
          <cell r="A17" t="str">
            <v>Д-14_от_шин</v>
          </cell>
          <cell r="B17">
            <v>1045340</v>
          </cell>
          <cell r="C17">
            <v>674349</v>
          </cell>
          <cell r="D17">
            <v>699658.9</v>
          </cell>
          <cell r="E17">
            <v>699682.5</v>
          </cell>
          <cell r="F17">
            <v>1</v>
          </cell>
          <cell r="G17">
            <v>25309.900000000023</v>
          </cell>
        </row>
        <row r="18">
          <cell r="A18" t="str">
            <v>Д-16_к_шинам</v>
          </cell>
          <cell r="B18">
            <v>1045337</v>
          </cell>
          <cell r="C18">
            <v>6278.8</v>
          </cell>
          <cell r="D18">
            <v>6455.4</v>
          </cell>
          <cell r="E18">
            <v>6455.7</v>
          </cell>
          <cell r="F18">
            <v>1</v>
          </cell>
          <cell r="G18">
            <v>176.59999999999945</v>
          </cell>
        </row>
        <row r="19">
          <cell r="A19" t="str">
            <v>Д-16_от_шин</v>
          </cell>
          <cell r="B19">
            <v>1045337</v>
          </cell>
          <cell r="C19">
            <v>671463.7</v>
          </cell>
          <cell r="D19">
            <v>696812.6</v>
          </cell>
          <cell r="E19">
            <v>696836.4</v>
          </cell>
          <cell r="F19">
            <v>1</v>
          </cell>
          <cell r="G19">
            <v>25348.900000000023</v>
          </cell>
        </row>
        <row r="20">
          <cell r="A20" t="str">
            <v>ОВВ-220_к_шинам</v>
          </cell>
          <cell r="B20">
            <v>1045350</v>
          </cell>
          <cell r="C20">
            <v>60492.9</v>
          </cell>
          <cell r="D20">
            <v>60492.9</v>
          </cell>
          <cell r="E20">
            <v>60492.9</v>
          </cell>
          <cell r="F20">
            <v>1</v>
          </cell>
          <cell r="G20">
            <v>0</v>
          </cell>
        </row>
        <row r="21">
          <cell r="A21" t="str">
            <v>ОВВ-220_от_шин</v>
          </cell>
          <cell r="B21">
            <v>1045350</v>
          </cell>
          <cell r="C21">
            <v>85504.1</v>
          </cell>
          <cell r="D21">
            <v>85504.1</v>
          </cell>
          <cell r="E21">
            <v>85504.1</v>
          </cell>
          <cell r="F21">
            <v>1</v>
          </cell>
          <cell r="G21">
            <v>0</v>
          </cell>
        </row>
        <row r="22">
          <cell r="A22" t="str">
            <v>ВВ-220-АТ1_от_шин</v>
          </cell>
          <cell r="B22">
            <v>1045349</v>
          </cell>
          <cell r="C22">
            <v>7784.3</v>
          </cell>
          <cell r="D22">
            <v>8061.8</v>
          </cell>
          <cell r="E22">
            <v>8061.8</v>
          </cell>
          <cell r="F22">
            <v>1</v>
          </cell>
          <cell r="G22">
            <v>277.5</v>
          </cell>
        </row>
        <row r="23">
          <cell r="A23" t="str">
            <v>ВВ-220-АТ1_к_шинам</v>
          </cell>
          <cell r="B23">
            <v>1045349</v>
          </cell>
          <cell r="C23">
            <v>2104638.9</v>
          </cell>
          <cell r="D23">
            <v>2188326.7999999998</v>
          </cell>
          <cell r="E23">
            <v>2188437.5</v>
          </cell>
          <cell r="F23">
            <v>1</v>
          </cell>
          <cell r="G23">
            <v>83687.899999999907</v>
          </cell>
        </row>
        <row r="24">
          <cell r="A24" t="str">
            <v>ВВ-220-АТ2_от_шин</v>
          </cell>
          <cell r="B24">
            <v>1045352</v>
          </cell>
          <cell r="C24">
            <v>7422.8</v>
          </cell>
          <cell r="D24">
            <v>7673.7</v>
          </cell>
          <cell r="E24">
            <v>7673.7</v>
          </cell>
          <cell r="F24">
            <v>1</v>
          </cell>
          <cell r="G24">
            <v>250.89999999999964</v>
          </cell>
        </row>
        <row r="25">
          <cell r="A25" t="str">
            <v>ВВ-220-АТ2_к_шинам</v>
          </cell>
          <cell r="B25">
            <v>1045352</v>
          </cell>
          <cell r="C25">
            <v>1954066.5</v>
          </cell>
          <cell r="D25">
            <v>2027192.9</v>
          </cell>
          <cell r="E25">
            <v>2027288.5</v>
          </cell>
          <cell r="F25">
            <v>1</v>
          </cell>
          <cell r="G25">
            <v>73126.399999999907</v>
          </cell>
        </row>
        <row r="26">
          <cell r="A26" t="str">
            <v>МВ-10-АТ1_от_шин</v>
          </cell>
          <cell r="B26">
            <v>69384</v>
          </cell>
          <cell r="C26">
            <v>9.43</v>
          </cell>
          <cell r="D26">
            <v>9.43</v>
          </cell>
          <cell r="E26">
            <v>9.43</v>
          </cell>
          <cell r="F26">
            <v>4000</v>
          </cell>
          <cell r="G26">
            <v>0</v>
          </cell>
        </row>
        <row r="27">
          <cell r="A27" t="str">
            <v>МВ-10-АТ1_к_шинам</v>
          </cell>
          <cell r="B27">
            <v>69384</v>
          </cell>
          <cell r="C27">
            <v>1093.93</v>
          </cell>
          <cell r="D27">
            <v>1140.6099999999999</v>
          </cell>
          <cell r="E27">
            <v>1143.81</v>
          </cell>
          <cell r="F27">
            <v>4000</v>
          </cell>
          <cell r="G27">
            <v>186.71999999999937</v>
          </cell>
        </row>
        <row r="28">
          <cell r="A28" t="str">
            <v>МВ-10-АТ2_от_шин</v>
          </cell>
          <cell r="B28">
            <v>69383</v>
          </cell>
          <cell r="C28">
            <v>12.47</v>
          </cell>
          <cell r="D28">
            <v>12.47</v>
          </cell>
          <cell r="E28">
            <v>12.47</v>
          </cell>
          <cell r="F28">
            <v>4000</v>
          </cell>
          <cell r="G28">
            <v>0</v>
          </cell>
        </row>
        <row r="29">
          <cell r="A29" t="str">
            <v>МВ-10-АТ2_к_шинам</v>
          </cell>
          <cell r="B29">
            <v>69383</v>
          </cell>
          <cell r="C29">
            <v>844.28</v>
          </cell>
          <cell r="D29">
            <v>893.58</v>
          </cell>
          <cell r="E29">
            <v>893.75</v>
          </cell>
          <cell r="F29">
            <v>4000</v>
          </cell>
          <cell r="G29">
            <v>197.20000000000027</v>
          </cell>
        </row>
        <row r="30">
          <cell r="A30" t="str">
            <v>МВ-10-СТ-7_к_шинам</v>
          </cell>
          <cell r="B30">
            <v>69385</v>
          </cell>
          <cell r="C30">
            <v>6.89</v>
          </cell>
          <cell r="D30">
            <v>7.5</v>
          </cell>
          <cell r="E30">
            <v>7.5</v>
          </cell>
          <cell r="F30">
            <v>4000</v>
          </cell>
          <cell r="G30">
            <v>2.4400000000000013</v>
          </cell>
        </row>
        <row r="31">
          <cell r="A31" t="str">
            <v>МВ-10-СТ-7_от_шин</v>
          </cell>
          <cell r="B31" t="str">
            <v>69385</v>
          </cell>
          <cell r="C31">
            <v>1.86</v>
          </cell>
          <cell r="D31">
            <v>1.86</v>
          </cell>
          <cell r="E31">
            <v>1.86</v>
          </cell>
          <cell r="F31">
            <v>4000</v>
          </cell>
          <cell r="G31">
            <v>0</v>
          </cell>
        </row>
      </sheetData>
      <sheetData sheetId="1" refreshError="1">
        <row r="5">
          <cell r="A5" t="str">
            <v>ВЛ-555_к_шинам</v>
          </cell>
          <cell r="B5">
            <v>1045353</v>
          </cell>
          <cell r="C5">
            <v>93418.4</v>
          </cell>
          <cell r="D5">
            <v>96709.6</v>
          </cell>
          <cell r="E5">
            <v>96709.6</v>
          </cell>
          <cell r="F5">
            <v>1</v>
          </cell>
          <cell r="G5">
            <v>3291.2000000000116</v>
          </cell>
        </row>
        <row r="6">
          <cell r="A6" t="str">
            <v>ВЛ-555_от_шин</v>
          </cell>
          <cell r="B6">
            <v>1045353</v>
          </cell>
          <cell r="C6">
            <v>3540783.6</v>
          </cell>
          <cell r="D6">
            <v>3686912.8</v>
          </cell>
          <cell r="E6">
            <v>3687604.4</v>
          </cell>
          <cell r="F6">
            <v>1</v>
          </cell>
          <cell r="G6">
            <v>146129.19999999972</v>
          </cell>
        </row>
        <row r="7">
          <cell r="A7" t="str">
            <v>ВЛ-553_к_шинам</v>
          </cell>
          <cell r="B7">
            <v>1045354</v>
          </cell>
          <cell r="C7">
            <v>4951414.4000000004</v>
          </cell>
          <cell r="D7">
            <v>5202095.2</v>
          </cell>
          <cell r="E7">
            <v>5203039.2</v>
          </cell>
          <cell r="F7">
            <v>1</v>
          </cell>
          <cell r="G7">
            <v>250680.79999999981</v>
          </cell>
        </row>
        <row r="8">
          <cell r="A8" t="str">
            <v>ВЛ-553_от_шин</v>
          </cell>
          <cell r="B8">
            <v>1045354</v>
          </cell>
          <cell r="C8">
            <v>252.8</v>
          </cell>
          <cell r="D8">
            <v>254</v>
          </cell>
          <cell r="E8">
            <v>254</v>
          </cell>
          <cell r="F8">
            <v>1</v>
          </cell>
          <cell r="G8">
            <v>1.1999999999999886</v>
          </cell>
        </row>
        <row r="9">
          <cell r="A9" t="str">
            <v>ВЛ-224_к_шинам</v>
          </cell>
          <cell r="B9">
            <v>1050907</v>
          </cell>
          <cell r="C9">
            <v>162661.5</v>
          </cell>
          <cell r="D9">
            <v>162793.5</v>
          </cell>
          <cell r="E9">
            <v>162793.5</v>
          </cell>
          <cell r="F9">
            <v>1</v>
          </cell>
          <cell r="G9">
            <v>132</v>
          </cell>
        </row>
        <row r="10">
          <cell r="A10" t="str">
            <v>ВЛ-224_от_шин</v>
          </cell>
          <cell r="B10">
            <v>1050907</v>
          </cell>
          <cell r="C10">
            <v>263915.59999999998</v>
          </cell>
          <cell r="D10">
            <v>290090.5</v>
          </cell>
          <cell r="E10">
            <v>290118.90000000002</v>
          </cell>
          <cell r="F10">
            <v>1</v>
          </cell>
          <cell r="G10">
            <v>26174.900000000023</v>
          </cell>
        </row>
        <row r="11">
          <cell r="A11" t="str">
            <v>ВЛ-225_к_шинам</v>
          </cell>
          <cell r="B11">
            <v>1050875</v>
          </cell>
          <cell r="C11">
            <v>149415.4</v>
          </cell>
          <cell r="D11">
            <v>149489.9</v>
          </cell>
          <cell r="E11">
            <v>149489.9</v>
          </cell>
          <cell r="F11">
            <v>1</v>
          </cell>
          <cell r="G11">
            <v>74.5</v>
          </cell>
        </row>
        <row r="12">
          <cell r="A12" t="str">
            <v>ВЛ-225_от_шин</v>
          </cell>
          <cell r="B12">
            <v>1050875</v>
          </cell>
          <cell r="C12">
            <v>292458.2</v>
          </cell>
          <cell r="D12">
            <v>320513.5</v>
          </cell>
          <cell r="E12">
            <v>320552</v>
          </cell>
          <cell r="F12">
            <v>1</v>
          </cell>
          <cell r="G12">
            <v>28055.299999999988</v>
          </cell>
        </row>
        <row r="13">
          <cell r="A13" t="str">
            <v>В3-220АТ3_от_шин</v>
          </cell>
          <cell r="B13">
            <v>4405800</v>
          </cell>
          <cell r="C13">
            <v>5.74</v>
          </cell>
          <cell r="D13">
            <v>5.74</v>
          </cell>
          <cell r="E13">
            <v>5.74</v>
          </cell>
          <cell r="F13">
            <v>4400000</v>
          </cell>
          <cell r="G13">
            <v>0</v>
          </cell>
        </row>
        <row r="14">
          <cell r="A14" t="str">
            <v>В3-220АТ3_к_шинам</v>
          </cell>
          <cell r="B14">
            <v>190324</v>
          </cell>
          <cell r="C14">
            <v>205.28</v>
          </cell>
          <cell r="D14">
            <v>217.12</v>
          </cell>
          <cell r="E14">
            <v>217.15</v>
          </cell>
          <cell r="F14">
            <v>4400000</v>
          </cell>
          <cell r="G14">
            <v>52096.000000000015</v>
          </cell>
        </row>
        <row r="15">
          <cell r="A15" t="str">
            <v>В4-220АТ3_от_шин</v>
          </cell>
          <cell r="B15">
            <v>19144</v>
          </cell>
          <cell r="C15">
            <v>9.1</v>
          </cell>
          <cell r="D15">
            <v>9.1</v>
          </cell>
          <cell r="E15">
            <v>9.1</v>
          </cell>
          <cell r="F15">
            <v>4400000</v>
          </cell>
          <cell r="G15">
            <v>0</v>
          </cell>
        </row>
        <row r="16">
          <cell r="A16" t="str">
            <v>В4-220АТ3_к_шинам</v>
          </cell>
          <cell r="B16">
            <v>777412</v>
          </cell>
          <cell r="C16">
            <v>187.36</v>
          </cell>
          <cell r="D16">
            <v>199.6</v>
          </cell>
          <cell r="E16">
            <v>199.63</v>
          </cell>
          <cell r="F16">
            <v>4400000</v>
          </cell>
          <cell r="G16">
            <v>53855.99999999992</v>
          </cell>
        </row>
        <row r="17">
          <cell r="A17" t="str">
            <v>ШСОВ-220_к_шинам</v>
          </cell>
          <cell r="B17">
            <v>1050887</v>
          </cell>
          <cell r="C17">
            <v>1706.8</v>
          </cell>
          <cell r="D17">
            <v>1706.8</v>
          </cell>
          <cell r="E17">
            <v>1706.8</v>
          </cell>
          <cell r="F17">
            <v>1</v>
          </cell>
          <cell r="G17">
            <v>0</v>
          </cell>
        </row>
        <row r="18">
          <cell r="A18" t="str">
            <v>ШСОВ-220_от_шин</v>
          </cell>
          <cell r="B18">
            <v>1050887</v>
          </cell>
          <cell r="C18">
            <v>13540.3</v>
          </cell>
          <cell r="D18">
            <v>13540.3</v>
          </cell>
          <cell r="E18">
            <v>13540.3</v>
          </cell>
          <cell r="F18">
            <v>1</v>
          </cell>
          <cell r="G18">
            <v>0</v>
          </cell>
        </row>
        <row r="19">
          <cell r="A19" t="str">
            <v>ВВ-110АТ1_от_шин</v>
          </cell>
          <cell r="B19">
            <v>1050909</v>
          </cell>
          <cell r="C19">
            <v>3168.6</v>
          </cell>
          <cell r="D19">
            <v>3168.6</v>
          </cell>
          <cell r="E19">
            <v>3168.6</v>
          </cell>
          <cell r="F19">
            <v>1</v>
          </cell>
          <cell r="G19">
            <v>0</v>
          </cell>
        </row>
        <row r="20">
          <cell r="A20" t="str">
            <v>ВВ-110АТ1_к_шинам</v>
          </cell>
          <cell r="B20">
            <v>1050909</v>
          </cell>
          <cell r="C20">
            <v>521687.8</v>
          </cell>
          <cell r="D20">
            <v>548845.9</v>
          </cell>
          <cell r="E20">
            <v>548943.69999999995</v>
          </cell>
          <cell r="F20">
            <v>1</v>
          </cell>
          <cell r="G20">
            <v>27158.100000000035</v>
          </cell>
        </row>
        <row r="21">
          <cell r="A21" t="str">
            <v>ВВ-110АТ2_от_шин</v>
          </cell>
          <cell r="B21">
            <v>1050881</v>
          </cell>
          <cell r="C21">
            <v>3413.2</v>
          </cell>
          <cell r="D21">
            <v>3413.2</v>
          </cell>
          <cell r="E21">
            <v>3413.2</v>
          </cell>
          <cell r="F21">
            <v>1</v>
          </cell>
          <cell r="G21">
            <v>0</v>
          </cell>
        </row>
        <row r="22">
          <cell r="A22" t="str">
            <v>ВВ-110АТ2_к_шинам</v>
          </cell>
          <cell r="B22">
            <v>1050881</v>
          </cell>
          <cell r="C22">
            <v>470261.8</v>
          </cell>
          <cell r="D22">
            <v>494781.8</v>
          </cell>
          <cell r="E22">
            <v>494870.6</v>
          </cell>
          <cell r="F22">
            <v>1</v>
          </cell>
          <cell r="G22">
            <v>24520</v>
          </cell>
        </row>
        <row r="23">
          <cell r="A23" t="str">
            <v>С-165_к_шинам</v>
          </cell>
          <cell r="B23">
            <v>1045356</v>
          </cell>
          <cell r="C23">
            <v>538.29999999999995</v>
          </cell>
          <cell r="D23">
            <v>539.79999999999995</v>
          </cell>
          <cell r="E23">
            <v>540.1</v>
          </cell>
          <cell r="F23">
            <v>1</v>
          </cell>
          <cell r="G23">
            <v>1.5</v>
          </cell>
        </row>
        <row r="24">
          <cell r="A24" t="str">
            <v>С-165_от_шин</v>
          </cell>
          <cell r="B24">
            <v>1045356</v>
          </cell>
          <cell r="C24">
            <v>43593.5</v>
          </cell>
          <cell r="D24">
            <v>46170.9</v>
          </cell>
          <cell r="E24">
            <v>46182</v>
          </cell>
          <cell r="F24">
            <v>1</v>
          </cell>
          <cell r="G24">
            <v>2577.4000000000015</v>
          </cell>
        </row>
        <row r="25">
          <cell r="A25" t="str">
            <v>С-166_к_шинам</v>
          </cell>
          <cell r="B25">
            <v>1046897</v>
          </cell>
          <cell r="C25">
            <v>57</v>
          </cell>
          <cell r="D25">
            <v>57</v>
          </cell>
          <cell r="E25">
            <v>57</v>
          </cell>
          <cell r="F25">
            <v>1</v>
          </cell>
          <cell r="G25">
            <v>0</v>
          </cell>
        </row>
        <row r="26">
          <cell r="A26" t="str">
            <v>С-166_от_шин</v>
          </cell>
          <cell r="B26">
            <v>1046897</v>
          </cell>
          <cell r="C26">
            <v>46773.3</v>
          </cell>
          <cell r="D26">
            <v>49356.9</v>
          </cell>
          <cell r="E26">
            <v>49368</v>
          </cell>
          <cell r="F26">
            <v>1</v>
          </cell>
          <cell r="G26">
            <v>2583.5999999999985</v>
          </cell>
        </row>
        <row r="27">
          <cell r="A27" t="str">
            <v>С-167_к_шинам</v>
          </cell>
          <cell r="B27">
            <v>1045343</v>
          </cell>
          <cell r="C27">
            <v>5085.6000000000004</v>
          </cell>
          <cell r="D27">
            <v>5088.1000000000004</v>
          </cell>
          <cell r="E27">
            <v>5088.1000000000004</v>
          </cell>
          <cell r="F27">
            <v>1</v>
          </cell>
          <cell r="G27">
            <v>2.5</v>
          </cell>
        </row>
        <row r="28">
          <cell r="A28" t="str">
            <v>С-167_от_шин</v>
          </cell>
          <cell r="B28">
            <v>1045343</v>
          </cell>
          <cell r="C28">
            <v>214150.6</v>
          </cell>
          <cell r="D28">
            <v>223214.5</v>
          </cell>
          <cell r="E28">
            <v>223243.8</v>
          </cell>
          <cell r="F28">
            <v>1</v>
          </cell>
          <cell r="G28">
            <v>9063.8999999999942</v>
          </cell>
        </row>
        <row r="29">
          <cell r="A29" t="str">
            <v>С-168_к_шинам</v>
          </cell>
          <cell r="B29">
            <v>1045342</v>
          </cell>
          <cell r="C29">
            <v>7845.8</v>
          </cell>
          <cell r="D29">
            <v>7848.5</v>
          </cell>
          <cell r="E29">
            <v>7848.5</v>
          </cell>
          <cell r="F29">
            <v>1</v>
          </cell>
          <cell r="G29">
            <v>2.6999999999998181</v>
          </cell>
        </row>
        <row r="30">
          <cell r="A30" t="str">
            <v>С-168_от_шин</v>
          </cell>
          <cell r="B30">
            <v>1045342</v>
          </cell>
          <cell r="C30">
            <v>218853.5</v>
          </cell>
          <cell r="D30">
            <v>227723.4</v>
          </cell>
          <cell r="E30">
            <v>227751.4</v>
          </cell>
          <cell r="F30">
            <v>1</v>
          </cell>
          <cell r="G30">
            <v>8869.8999999999942</v>
          </cell>
        </row>
        <row r="31">
          <cell r="A31" t="str">
            <v>С-170_к_шинам</v>
          </cell>
          <cell r="B31">
            <v>1045335</v>
          </cell>
          <cell r="C31">
            <v>3.2</v>
          </cell>
          <cell r="D31">
            <v>3.2</v>
          </cell>
          <cell r="E31">
            <v>3.2</v>
          </cell>
          <cell r="F31">
            <v>1</v>
          </cell>
          <cell r="G31">
            <v>0</v>
          </cell>
        </row>
        <row r="32">
          <cell r="A32" t="str">
            <v>С-170_от_шин</v>
          </cell>
          <cell r="B32">
            <v>1045335</v>
          </cell>
          <cell r="C32">
            <v>158983.79999999999</v>
          </cell>
          <cell r="D32">
            <v>167846.8</v>
          </cell>
          <cell r="E32">
            <v>167881.9</v>
          </cell>
          <cell r="F32">
            <v>1</v>
          </cell>
          <cell r="G32">
            <v>8863</v>
          </cell>
        </row>
        <row r="33">
          <cell r="A33" t="str">
            <v>С-171_к_шинам</v>
          </cell>
          <cell r="B33">
            <v>1045336</v>
          </cell>
          <cell r="C33">
            <v>3897.7</v>
          </cell>
          <cell r="D33">
            <v>3898</v>
          </cell>
          <cell r="E33">
            <v>3898</v>
          </cell>
          <cell r="F33">
            <v>1</v>
          </cell>
          <cell r="G33">
            <v>0.3000000000001819</v>
          </cell>
        </row>
        <row r="34">
          <cell r="A34" t="str">
            <v>С-171_от_шин</v>
          </cell>
          <cell r="B34">
            <v>1045336</v>
          </cell>
          <cell r="C34">
            <v>404377.59999999998</v>
          </cell>
          <cell r="D34">
            <v>424060.9</v>
          </cell>
          <cell r="E34">
            <v>424133.7</v>
          </cell>
          <cell r="F34">
            <v>1</v>
          </cell>
          <cell r="G34">
            <v>19683.300000000047</v>
          </cell>
        </row>
        <row r="35">
          <cell r="A35" t="str">
            <v>ОВВ-110_к_шинам</v>
          </cell>
          <cell r="B35">
            <v>1050894</v>
          </cell>
          <cell r="C35">
            <v>1537.6</v>
          </cell>
          <cell r="D35">
            <v>1537.6</v>
          </cell>
          <cell r="E35">
            <v>1537.6</v>
          </cell>
          <cell r="F35">
            <v>1</v>
          </cell>
          <cell r="G35">
            <v>0</v>
          </cell>
        </row>
        <row r="36">
          <cell r="A36" t="str">
            <v>ОВВ-110_от_шин</v>
          </cell>
          <cell r="B36">
            <v>1050894</v>
          </cell>
          <cell r="C36">
            <v>12260.7</v>
          </cell>
          <cell r="D36">
            <v>12260.7</v>
          </cell>
          <cell r="E36">
            <v>12260.7</v>
          </cell>
          <cell r="F36">
            <v>1</v>
          </cell>
          <cell r="G36">
            <v>0</v>
          </cell>
        </row>
        <row r="37">
          <cell r="A37" t="str">
            <v>МВ-10-АТ1_от_шин</v>
          </cell>
          <cell r="B37">
            <v>69341</v>
          </cell>
          <cell r="C37">
            <v>0</v>
          </cell>
          <cell r="D37">
            <v>0</v>
          </cell>
          <cell r="E37">
            <v>0</v>
          </cell>
          <cell r="F37">
            <v>60000</v>
          </cell>
          <cell r="G37">
            <v>0</v>
          </cell>
        </row>
        <row r="38">
          <cell r="A38" t="str">
            <v>МВ-10-АТ1_к_шинам</v>
          </cell>
          <cell r="B38">
            <v>69341</v>
          </cell>
          <cell r="C38">
            <v>67.52</v>
          </cell>
          <cell r="D38">
            <v>70.11</v>
          </cell>
          <cell r="E38">
            <v>70.12</v>
          </cell>
          <cell r="F38">
            <v>60000</v>
          </cell>
          <cell r="G38">
            <v>155.4000000000002</v>
          </cell>
        </row>
        <row r="39">
          <cell r="A39" t="str">
            <v>МВ-10-АТ2_от_шин</v>
          </cell>
          <cell r="B39">
            <v>69390</v>
          </cell>
          <cell r="C39">
            <v>1.79</v>
          </cell>
          <cell r="D39">
            <v>1.79</v>
          </cell>
          <cell r="E39">
            <v>1.79</v>
          </cell>
          <cell r="F39">
            <v>60000</v>
          </cell>
          <cell r="G39">
            <v>0</v>
          </cell>
        </row>
        <row r="40">
          <cell r="A40" t="str">
            <v>МВ-10-АТ2_к_шинам</v>
          </cell>
          <cell r="B40">
            <v>69390</v>
          </cell>
          <cell r="C40">
            <v>29</v>
          </cell>
          <cell r="D40">
            <v>30.54</v>
          </cell>
          <cell r="E40">
            <v>30.55</v>
          </cell>
          <cell r="F40">
            <v>60000</v>
          </cell>
          <cell r="G40">
            <v>92.399999999999949</v>
          </cell>
        </row>
        <row r="41">
          <cell r="A41" t="str">
            <v>ф.9_к_шинам_0.4</v>
          </cell>
          <cell r="C41">
            <v>19.100000000000001</v>
          </cell>
          <cell r="D41">
            <v>19.100000000000001</v>
          </cell>
          <cell r="E41">
            <v>19.100000000000001</v>
          </cell>
          <cell r="G41">
            <v>0</v>
          </cell>
        </row>
        <row r="42">
          <cell r="A42" t="str">
            <v>ф.6_к_шинам_10</v>
          </cell>
          <cell r="C42">
            <v>6708.2</v>
          </cell>
          <cell r="D42">
            <v>6708.2</v>
          </cell>
          <cell r="E42">
            <v>6708.2</v>
          </cell>
          <cell r="G42">
            <v>0</v>
          </cell>
        </row>
      </sheetData>
      <sheetData sheetId="2" refreshError="1">
        <row r="16">
          <cell r="H16">
            <v>69.756399999999999</v>
          </cell>
        </row>
      </sheetData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Заголовок"/>
      <sheetName val="Справочники"/>
      <sheetName val="Регионы"/>
      <sheetName val="1"/>
      <sheetName val="2"/>
      <sheetName val="3"/>
      <sheetName val="4"/>
      <sheetName val="5"/>
      <sheetName val="Первоначально"/>
      <sheetName val="29"/>
      <sheetName val="20"/>
      <sheetName val="21"/>
      <sheetName val="23"/>
      <sheetName val="25"/>
      <sheetName val="26"/>
      <sheetName val="27"/>
      <sheetName val="28"/>
      <sheetName val="19"/>
      <sheetName val="22"/>
      <sheetName val="24"/>
      <sheetName val="FST5"/>
    </sheetNames>
    <sheetDataSet>
      <sheetData sheetId="0"/>
      <sheetData sheetId="1"/>
      <sheetData sheetId="2" refreshError="1">
        <row r="2">
          <cell r="A2" t="str">
            <v>Агинский Бурятский автономный округ</v>
          </cell>
        </row>
        <row r="24">
          <cell r="C24" t="str">
            <v>1</v>
          </cell>
        </row>
        <row r="25">
          <cell r="C25" t="str">
            <v>2</v>
          </cell>
        </row>
        <row r="26">
          <cell r="C26" t="str">
            <v>3</v>
          </cell>
        </row>
        <row r="27">
          <cell r="C27" t="str">
            <v>4</v>
          </cell>
        </row>
        <row r="28">
          <cell r="C28" t="str">
            <v>5</v>
          </cell>
        </row>
        <row r="29">
          <cell r="C29" t="str">
            <v>6</v>
          </cell>
        </row>
        <row r="30">
          <cell r="C30" t="str">
            <v>7</v>
          </cell>
        </row>
        <row r="31">
          <cell r="C31" t="str">
            <v>8</v>
          </cell>
        </row>
        <row r="32">
          <cell r="C32" t="str">
            <v>9</v>
          </cell>
        </row>
        <row r="33">
          <cell r="C33" t="str">
            <v>10</v>
          </cell>
        </row>
        <row r="34">
          <cell r="C34" t="str">
            <v>11</v>
          </cell>
        </row>
        <row r="35">
          <cell r="C35" t="str">
            <v>12</v>
          </cell>
        </row>
        <row r="36">
          <cell r="C36" t="str">
            <v>13</v>
          </cell>
        </row>
        <row r="37">
          <cell r="C37" t="str">
            <v>14</v>
          </cell>
        </row>
        <row r="38">
          <cell r="C38" t="str">
            <v>15</v>
          </cell>
        </row>
        <row r="39">
          <cell r="C39" t="str">
            <v>16</v>
          </cell>
        </row>
        <row r="40">
          <cell r="C40" t="str">
            <v>17</v>
          </cell>
        </row>
        <row r="41">
          <cell r="C41" t="str">
            <v>18</v>
          </cell>
        </row>
        <row r="42">
          <cell r="C42" t="str">
            <v>19</v>
          </cell>
        </row>
        <row r="43">
          <cell r="C43" t="str">
            <v>20</v>
          </cell>
        </row>
        <row r="44">
          <cell r="C44" t="str">
            <v>21</v>
          </cell>
        </row>
        <row r="45">
          <cell r="C45" t="str">
            <v>22</v>
          </cell>
        </row>
        <row r="46">
          <cell r="C46" t="str">
            <v>23</v>
          </cell>
        </row>
        <row r="47">
          <cell r="C47" t="str">
            <v>24</v>
          </cell>
        </row>
        <row r="48">
          <cell r="C48" t="str">
            <v>25</v>
          </cell>
        </row>
        <row r="49">
          <cell r="C49" t="str">
            <v>26</v>
          </cell>
        </row>
        <row r="50">
          <cell r="C50" t="str">
            <v>27</v>
          </cell>
        </row>
        <row r="51">
          <cell r="C51" t="str">
            <v>28</v>
          </cell>
        </row>
        <row r="52">
          <cell r="C52" t="str">
            <v>29</v>
          </cell>
        </row>
        <row r="53">
          <cell r="C53" t="str">
            <v>30</v>
          </cell>
        </row>
        <row r="54">
          <cell r="C54" t="str">
            <v>31</v>
          </cell>
        </row>
        <row r="55">
          <cell r="C55" t="str">
            <v>32</v>
          </cell>
        </row>
        <row r="56">
          <cell r="C56" t="str">
            <v>33</v>
          </cell>
        </row>
        <row r="57">
          <cell r="C57" t="str">
            <v>34</v>
          </cell>
        </row>
        <row r="58">
          <cell r="C58" t="str">
            <v>35</v>
          </cell>
        </row>
        <row r="59">
          <cell r="C59" t="str">
            <v>36</v>
          </cell>
        </row>
        <row r="60">
          <cell r="C60" t="str">
            <v>37</v>
          </cell>
        </row>
        <row r="61">
          <cell r="C61" t="str">
            <v>38</v>
          </cell>
        </row>
        <row r="62">
          <cell r="C62" t="str">
            <v>39</v>
          </cell>
        </row>
        <row r="63">
          <cell r="C63" t="str">
            <v>40</v>
          </cell>
        </row>
        <row r="64">
          <cell r="C64" t="str">
            <v>41</v>
          </cell>
        </row>
        <row r="65">
          <cell r="C65" t="str">
            <v>42</v>
          </cell>
        </row>
        <row r="66">
          <cell r="C66" t="str">
            <v>43</v>
          </cell>
        </row>
        <row r="67">
          <cell r="C67" t="str">
            <v>44</v>
          </cell>
        </row>
        <row r="68">
          <cell r="C68" t="str">
            <v>45</v>
          </cell>
        </row>
        <row r="69">
          <cell r="C69" t="str">
            <v>46</v>
          </cell>
        </row>
        <row r="70">
          <cell r="C70" t="str">
            <v>47</v>
          </cell>
        </row>
        <row r="71">
          <cell r="C71" t="str">
            <v>48</v>
          </cell>
        </row>
        <row r="72">
          <cell r="C72" t="str">
            <v>49</v>
          </cell>
        </row>
        <row r="73">
          <cell r="C73" t="str">
            <v>50</v>
          </cell>
        </row>
        <row r="74">
          <cell r="C74" t="str">
            <v>51</v>
          </cell>
        </row>
        <row r="75">
          <cell r="C75" t="str">
            <v>52</v>
          </cell>
        </row>
        <row r="76">
          <cell r="C76" t="str">
            <v>53</v>
          </cell>
        </row>
        <row r="77">
          <cell r="C77" t="str">
            <v>54</v>
          </cell>
        </row>
        <row r="78">
          <cell r="C78" t="str">
            <v>55</v>
          </cell>
        </row>
        <row r="79">
          <cell r="C79" t="str">
            <v>56</v>
          </cell>
        </row>
        <row r="80">
          <cell r="C80" t="str">
            <v>57</v>
          </cell>
        </row>
        <row r="81">
          <cell r="C81" t="str">
            <v>58</v>
          </cell>
        </row>
        <row r="82">
          <cell r="C82" t="str">
            <v>59</v>
          </cell>
        </row>
        <row r="83">
          <cell r="C83" t="str">
            <v>60</v>
          </cell>
        </row>
        <row r="84">
          <cell r="C84" t="str">
            <v>61</v>
          </cell>
        </row>
        <row r="85">
          <cell r="C85" t="str">
            <v>62</v>
          </cell>
        </row>
        <row r="86">
          <cell r="C86" t="str">
            <v>63</v>
          </cell>
        </row>
        <row r="87">
          <cell r="C87" t="str">
            <v>64</v>
          </cell>
        </row>
        <row r="88">
          <cell r="C88" t="str">
            <v>65</v>
          </cell>
        </row>
        <row r="89">
          <cell r="C89" t="str">
            <v>66</v>
          </cell>
        </row>
        <row r="90">
          <cell r="C90" t="str">
            <v>67</v>
          </cell>
        </row>
        <row r="91">
          <cell r="C91" t="str">
            <v>68</v>
          </cell>
        </row>
        <row r="92">
          <cell r="C92" t="str">
            <v>69</v>
          </cell>
        </row>
        <row r="93">
          <cell r="C93" t="str">
            <v>70</v>
          </cell>
        </row>
        <row r="94">
          <cell r="C94" t="str">
            <v>71</v>
          </cell>
        </row>
        <row r="95">
          <cell r="C95" t="str">
            <v>72</v>
          </cell>
        </row>
        <row r="96">
          <cell r="C96" t="str">
            <v>73</v>
          </cell>
        </row>
        <row r="97">
          <cell r="C97" t="str">
            <v>74</v>
          </cell>
        </row>
        <row r="98">
          <cell r="C98" t="str">
            <v>75</v>
          </cell>
        </row>
        <row r="99">
          <cell r="C99" t="str">
            <v>76</v>
          </cell>
        </row>
        <row r="100">
          <cell r="C100" t="str">
            <v>77</v>
          </cell>
        </row>
        <row r="101">
          <cell r="C101" t="str">
            <v>78</v>
          </cell>
        </row>
        <row r="102">
          <cell r="C102" t="str">
            <v>79</v>
          </cell>
        </row>
        <row r="103">
          <cell r="C103" t="str">
            <v>80</v>
          </cell>
        </row>
        <row r="104">
          <cell r="C104" t="str">
            <v>81</v>
          </cell>
        </row>
        <row r="105">
          <cell r="C105" t="str">
            <v>82</v>
          </cell>
        </row>
        <row r="106">
          <cell r="C106" t="str">
            <v>83</v>
          </cell>
        </row>
        <row r="107">
          <cell r="C107" t="str">
            <v>84</v>
          </cell>
        </row>
        <row r="108">
          <cell r="C108" t="str">
            <v>85</v>
          </cell>
        </row>
        <row r="109">
          <cell r="C109" t="str">
            <v>86</v>
          </cell>
        </row>
        <row r="110">
          <cell r="C110" t="str">
            <v>87</v>
          </cell>
        </row>
        <row r="111">
          <cell r="C111" t="str">
            <v>88</v>
          </cell>
        </row>
        <row r="112">
          <cell r="C112" t="str">
            <v>89</v>
          </cell>
        </row>
        <row r="113">
          <cell r="C113" t="str">
            <v>90</v>
          </cell>
        </row>
        <row r="114">
          <cell r="C114" t="str">
            <v>91</v>
          </cell>
        </row>
        <row r="115">
          <cell r="C115" t="str">
            <v>92</v>
          </cell>
        </row>
        <row r="116">
          <cell r="C116" t="str">
            <v>93</v>
          </cell>
        </row>
        <row r="117">
          <cell r="C117" t="str">
            <v>94</v>
          </cell>
        </row>
        <row r="118">
          <cell r="C118" t="str">
            <v>95</v>
          </cell>
        </row>
        <row r="119">
          <cell r="C119" t="str">
            <v>96</v>
          </cell>
        </row>
        <row r="120">
          <cell r="C120" t="str">
            <v>97</v>
          </cell>
        </row>
        <row r="121">
          <cell r="C121" t="str">
            <v>98</v>
          </cell>
        </row>
        <row r="122">
          <cell r="C122" t="str">
            <v>99</v>
          </cell>
        </row>
        <row r="123">
          <cell r="C123" t="str">
            <v>100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"/>
      <sheetName val="Заголовок"/>
      <sheetName val="3"/>
      <sheetName val="4"/>
      <sheetName val="5"/>
      <sheetName val="Справочники"/>
      <sheetName val="Инструкция"/>
      <sheetName val="TEHSHEET"/>
      <sheetName val="баланс квадраты ПЭС"/>
    </sheetNames>
    <sheetDataSet>
      <sheetData sheetId="0" refreshError="1"/>
      <sheetData sheetId="1">
        <row r="15">
          <cell r="B15">
            <v>2007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6">
          <cell r="C6" t="str">
            <v>Введите название региона</v>
          </cell>
          <cell r="K6" t="str">
            <v>Предложение организации</v>
          </cell>
        </row>
        <row r="7">
          <cell r="C7" t="str">
            <v>Агинский Бурятский автономный округ</v>
          </cell>
          <cell r="K7" t="str">
            <v>Предложение регионального регулятора</v>
          </cell>
        </row>
        <row r="8">
          <cell r="C8" t="str">
            <v>Алтайский край</v>
          </cell>
          <cell r="K8" t="str">
            <v>Сводный по региону</v>
          </cell>
        </row>
        <row r="9">
          <cell r="C9" t="str">
            <v>Амурская область</v>
          </cell>
        </row>
        <row r="10">
          <cell r="C10" t="str">
            <v>Архангельская область</v>
          </cell>
        </row>
        <row r="11">
          <cell r="C11" t="str">
            <v>Астраханская область</v>
          </cell>
        </row>
        <row r="12">
          <cell r="C12" t="str">
            <v>г.Байконур</v>
          </cell>
        </row>
        <row r="13">
          <cell r="C13" t="str">
            <v>Белгородская область</v>
          </cell>
        </row>
        <row r="14">
          <cell r="C14" t="str">
            <v>Брянская область</v>
          </cell>
        </row>
        <row r="15">
          <cell r="C15" t="str">
            <v>Владимирская область</v>
          </cell>
        </row>
        <row r="16">
          <cell r="C16" t="str">
            <v>Волгоградская область</v>
          </cell>
        </row>
        <row r="17">
          <cell r="C17" t="str">
            <v>Вологодская область</v>
          </cell>
        </row>
        <row r="18">
          <cell r="C18" t="str">
            <v>Воронежская область</v>
          </cell>
        </row>
        <row r="19">
          <cell r="C19" t="str">
            <v>Еврейская автономная область</v>
          </cell>
        </row>
        <row r="20">
          <cell r="C20" t="str">
            <v>Ивановская область</v>
          </cell>
        </row>
        <row r="21">
          <cell r="C21" t="str">
            <v>Иркутская область</v>
          </cell>
        </row>
        <row r="22">
          <cell r="C22" t="str">
            <v>Кабардино-Балкарская республика</v>
          </cell>
        </row>
        <row r="23">
          <cell r="C23" t="str">
            <v>Калининградская область</v>
          </cell>
        </row>
        <row r="24">
          <cell r="C24" t="str">
            <v>Калужская область</v>
          </cell>
        </row>
        <row r="25">
          <cell r="C25" t="str">
            <v>Камчатская область</v>
          </cell>
        </row>
        <row r="26">
          <cell r="C26" t="str">
            <v>Карачаево-Черкесская республика</v>
          </cell>
        </row>
        <row r="27">
          <cell r="C27" t="str">
            <v>Кемеровская область</v>
          </cell>
        </row>
        <row r="28">
          <cell r="C28" t="str">
            <v>Кировская область</v>
          </cell>
        </row>
        <row r="29">
          <cell r="C29" t="str">
            <v>Корякский автономный округ</v>
          </cell>
        </row>
        <row r="30">
          <cell r="C30" t="str">
            <v>Костромская область</v>
          </cell>
        </row>
        <row r="31">
          <cell r="C31" t="str">
            <v>Краснодарский край</v>
          </cell>
        </row>
        <row r="32">
          <cell r="C32" t="str">
            <v>Красноярский край</v>
          </cell>
        </row>
        <row r="33">
          <cell r="C33" t="str">
            <v>Курганская область</v>
          </cell>
        </row>
        <row r="34">
          <cell r="C34" t="str">
            <v>Курская область</v>
          </cell>
        </row>
        <row r="35">
          <cell r="C35" t="str">
            <v>Ленинградская область</v>
          </cell>
        </row>
        <row r="36">
          <cell r="C36" t="str">
            <v>Липецкая область</v>
          </cell>
        </row>
        <row r="37">
          <cell r="C37" t="str">
            <v>Магаданская область</v>
          </cell>
        </row>
        <row r="38">
          <cell r="C38" t="str">
            <v>г.Москва</v>
          </cell>
        </row>
        <row r="39">
          <cell r="C39" t="str">
            <v>Московская область</v>
          </cell>
        </row>
        <row r="40">
          <cell r="C40" t="str">
            <v>Мурманская область</v>
          </cell>
        </row>
        <row r="41">
          <cell r="C41" t="str">
            <v>Ненецкий автономный округ</v>
          </cell>
        </row>
        <row r="42">
          <cell r="C42" t="str">
            <v>Нижегородская область</v>
          </cell>
        </row>
        <row r="43">
          <cell r="C43" t="str">
            <v>Новгородская область</v>
          </cell>
        </row>
        <row r="44">
          <cell r="C44" t="str">
            <v>Новосибирская область</v>
          </cell>
        </row>
        <row r="45">
          <cell r="C45" t="str">
            <v>Омская область</v>
          </cell>
        </row>
        <row r="46">
          <cell r="C46" t="str">
            <v>Оренбургская область</v>
          </cell>
        </row>
        <row r="47">
          <cell r="C47" t="str">
            <v>Орловская область</v>
          </cell>
        </row>
        <row r="48">
          <cell r="C48" t="str">
            <v>Пензенская область</v>
          </cell>
        </row>
        <row r="49">
          <cell r="C49" t="str">
            <v>Пермский край</v>
          </cell>
        </row>
        <row r="50">
          <cell r="C50" t="str">
            <v>Приморский край</v>
          </cell>
        </row>
        <row r="51">
          <cell r="C51" t="str">
            <v>Псковская область</v>
          </cell>
        </row>
        <row r="52">
          <cell r="C52" t="str">
            <v>Республика Адыгея</v>
          </cell>
        </row>
        <row r="53">
          <cell r="C53" t="str">
            <v>Республика Алтай</v>
          </cell>
        </row>
        <row r="54">
          <cell r="C54" t="str">
            <v>Республика Башкортостан</v>
          </cell>
        </row>
        <row r="55">
          <cell r="C55" t="str">
            <v>Республика Бурятия</v>
          </cell>
        </row>
        <row r="56">
          <cell r="C56" t="str">
            <v>Республика Дагестан</v>
          </cell>
        </row>
        <row r="57">
          <cell r="C57" t="str">
            <v>Республика Ингушетия</v>
          </cell>
        </row>
        <row r="58">
          <cell r="C58" t="str">
            <v>Республика Калмыкия</v>
          </cell>
        </row>
        <row r="59">
          <cell r="C59" t="str">
            <v>Республика Карелия</v>
          </cell>
        </row>
        <row r="60">
          <cell r="C60" t="str">
            <v>Республика Коми</v>
          </cell>
        </row>
        <row r="61">
          <cell r="C61" t="str">
            <v>Республика Марий Эл</v>
          </cell>
        </row>
        <row r="62">
          <cell r="C62" t="str">
            <v>Республика Мордовия</v>
          </cell>
        </row>
        <row r="63">
          <cell r="C63" t="str">
            <v>Республика Саха (Якутия)</v>
          </cell>
        </row>
        <row r="64">
          <cell r="C64" t="str">
            <v>Республика Северная Осетия-Алания</v>
          </cell>
        </row>
        <row r="65">
          <cell r="C65" t="str">
            <v>Республика Татарстан</v>
          </cell>
        </row>
        <row r="66">
          <cell r="C66" t="str">
            <v>Республика Тыва</v>
          </cell>
        </row>
        <row r="67">
          <cell r="C67" t="str">
            <v>Республика Хакасия</v>
          </cell>
        </row>
        <row r="68">
          <cell r="C68" t="str">
            <v>Ростовская область</v>
          </cell>
        </row>
        <row r="69">
          <cell r="C69" t="str">
            <v>Рязанская область</v>
          </cell>
        </row>
        <row r="70">
          <cell r="C70" t="str">
            <v>Самарская область</v>
          </cell>
        </row>
        <row r="71">
          <cell r="C71" t="str">
            <v>г.Санкт-Петербург</v>
          </cell>
        </row>
        <row r="72">
          <cell r="C72" t="str">
            <v>Саратовская область</v>
          </cell>
        </row>
        <row r="73">
          <cell r="C73" t="str">
            <v>Сахалинская область</v>
          </cell>
        </row>
        <row r="74">
          <cell r="C74" t="str">
            <v>Свердловская область</v>
          </cell>
        </row>
        <row r="75">
          <cell r="C75" t="str">
            <v>Смоленская область</v>
          </cell>
        </row>
        <row r="76">
          <cell r="C76" t="str">
            <v>Ставропольский край</v>
          </cell>
        </row>
        <row r="77">
          <cell r="C77" t="str">
            <v>Тамбовская область</v>
          </cell>
        </row>
        <row r="78">
          <cell r="C78" t="str">
            <v>Тверская область</v>
          </cell>
        </row>
        <row r="79">
          <cell r="C79" t="str">
            <v>Томская область</v>
          </cell>
        </row>
        <row r="80">
          <cell r="C80" t="str">
            <v>Тульская область</v>
          </cell>
        </row>
        <row r="81">
          <cell r="C81" t="str">
            <v>Тюменская область</v>
          </cell>
        </row>
        <row r="82">
          <cell r="C82" t="str">
            <v>Удмуртская республика</v>
          </cell>
        </row>
        <row r="83">
          <cell r="C83" t="str">
            <v>Ульяновская область</v>
          </cell>
        </row>
        <row r="84">
          <cell r="C84" t="str">
            <v>Усть-Ордынский Бурятский автономный округ</v>
          </cell>
        </row>
        <row r="85">
          <cell r="C85" t="str">
            <v>Хабаровский край</v>
          </cell>
        </row>
        <row r="86">
          <cell r="C86" t="str">
            <v>Ханты-Мансийский автономный округ</v>
          </cell>
        </row>
        <row r="87">
          <cell r="C87" t="str">
            <v>Челябинская область</v>
          </cell>
        </row>
        <row r="88">
          <cell r="C88" t="str">
            <v>Чеченская республика</v>
          </cell>
        </row>
        <row r="89">
          <cell r="C89" t="str">
            <v>Читинская область</v>
          </cell>
        </row>
        <row r="90">
          <cell r="C90" t="str">
            <v>Чувашская республика</v>
          </cell>
        </row>
        <row r="91">
          <cell r="C91" t="str">
            <v>Чукотский автономный округ</v>
          </cell>
        </row>
        <row r="92">
          <cell r="C92" t="str">
            <v>Ямало-Ненецкий автономный округ</v>
          </cell>
        </row>
        <row r="93">
          <cell r="C93" t="str">
            <v>Ярославская область</v>
          </cell>
        </row>
      </sheetData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иложение"/>
      <sheetName val="справочник"/>
      <sheetName val="Прил 1 План-РСК"/>
      <sheetName val="Прил 2.1. РЭС-3 уров"/>
      <sheetName val="Прил 2.2. РЭС-2 уров"/>
      <sheetName val="Прил 3 План по элементам сети"/>
      <sheetName val="Прил 4 Факт по элементам сети"/>
      <sheetName val="Прил 5 Факт-План-РЭС1"/>
      <sheetName val="Прил 6.1 Пример План-РСК"/>
      <sheetName val="Прил 6.2. Пример РЭС-3 уров"/>
      <sheetName val="Лист1"/>
      <sheetName val="20"/>
    </sheetNames>
    <sheetDataSet>
      <sheetData sheetId="0"/>
      <sheetData sheetId="1">
        <row r="1">
          <cell r="A1" t="str">
            <v>январь</v>
          </cell>
        </row>
        <row r="2">
          <cell r="A2" t="str">
            <v>февраль</v>
          </cell>
        </row>
        <row r="3">
          <cell r="A3" t="str">
            <v>март</v>
          </cell>
        </row>
        <row r="4">
          <cell r="A4" t="str">
            <v>апрель</v>
          </cell>
        </row>
        <row r="5">
          <cell r="A5" t="str">
            <v>май</v>
          </cell>
        </row>
        <row r="6">
          <cell r="A6" t="str">
            <v>июнь</v>
          </cell>
        </row>
        <row r="7">
          <cell r="A7" t="str">
            <v>июль</v>
          </cell>
        </row>
        <row r="8">
          <cell r="A8" t="str">
            <v>август</v>
          </cell>
        </row>
        <row r="9">
          <cell r="A9" t="str">
            <v>сентябрь</v>
          </cell>
        </row>
        <row r="10">
          <cell r="A10" t="str">
            <v>октябрь</v>
          </cell>
        </row>
        <row r="11">
          <cell r="A11" t="str">
            <v>ноябрь</v>
          </cell>
        </row>
        <row r="12">
          <cell r="A12" t="str">
            <v>декабрь</v>
          </cell>
        </row>
        <row r="13">
          <cell r="A13">
            <v>2016</v>
          </cell>
        </row>
      </sheetData>
      <sheetData sheetId="2"/>
      <sheetData sheetId="3"/>
      <sheetData sheetId="4"/>
      <sheetData sheetId="5"/>
      <sheetData sheetId="6">
        <row r="10">
          <cell r="A10">
            <v>0</v>
          </cell>
        </row>
      </sheetData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ный отчет"/>
      <sheetName val="XLR_NoRangeSheet"/>
    </sheetNames>
    <sheetDataSet>
      <sheetData sheetId="0" refreshError="1"/>
      <sheetData sheetId="1" refreshError="1">
        <row r="6">
          <cell r="B6" t="str">
            <v>Июнь 2008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ульный лист"/>
      <sheetName val="Баланс по ТЭЦ-1"/>
      <sheetName val="Баланс по ТЭЦ-1(строгий)"/>
      <sheetName val="Сводный баланс"/>
      <sheetName val="Последний лист"/>
      <sheetName val="Краткая форма"/>
      <sheetName val="Справка в ОПЭ"/>
      <sheetName val="Пути"/>
      <sheetName val="Настройки"/>
      <sheetName val="баланс квадраты ПЭС"/>
      <sheetName val="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8">
          <cell r="B8">
            <v>38596</v>
          </cell>
        </row>
      </sheetData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Заголовок"/>
      <sheetName val="ЯНВ"/>
      <sheetName val="ФЕВ"/>
      <sheetName val="МАР"/>
      <sheetName val="АПР"/>
      <sheetName val="МАЙ"/>
      <sheetName val="ИЮН"/>
      <sheetName val="ИЮЛ"/>
      <sheetName val="АВГ"/>
      <sheetName val="СЕН"/>
      <sheetName val="ОКТ"/>
      <sheetName val="НОЯ"/>
      <sheetName val="ДЕК"/>
      <sheetName val="Регионы"/>
      <sheetName val="3 Расчеты с потребителями"/>
      <sheetName val="TEHSHEET"/>
      <sheetName val="Исходные"/>
      <sheetName val="Данные"/>
      <sheetName val="Form10"/>
      <sheetName val="06 нас-е Прейскурант"/>
      <sheetName val="1997"/>
      <sheetName val="1998"/>
      <sheetName val="эл ст"/>
      <sheetName val="2002(v1)"/>
      <sheetName val="23"/>
      <sheetName val="Заголовок2"/>
      <sheetName val="Инструкция"/>
      <sheetName val="Справочники"/>
      <sheetName val="Январь"/>
      <sheetName val="Февраль"/>
      <sheetName val="Март"/>
      <sheetName val="Апрель"/>
      <sheetName val="Июнь"/>
      <sheetName val="Июль"/>
      <sheetName val="Август"/>
      <sheetName val="Сентябрь"/>
      <sheetName val="Октябрь"/>
      <sheetName val="Ноябрь"/>
      <sheetName val="Декабрь"/>
      <sheetName val="I Квартал"/>
      <sheetName val="II Квартал"/>
      <sheetName val="III Квартал"/>
      <sheetName val="IV Квартал"/>
      <sheetName val="Год"/>
      <sheetName val="Лист1"/>
      <sheetName val="2007"/>
      <sheetName val="Лист13"/>
      <sheetName val="06_нас-е_Прейскурант"/>
      <sheetName val="мощность"/>
      <sheetName val="Потребность в прибыли"/>
      <sheetName val="списки"/>
      <sheetName val="Титульный"/>
      <sheetName val="перекрестка"/>
      <sheetName val="18.2"/>
      <sheetName val="4"/>
      <sheetName val="6"/>
      <sheetName val="15"/>
      <sheetName val="17.1"/>
      <sheetName val="21.3"/>
      <sheetName val="2.3"/>
      <sheetName val="20"/>
      <sheetName val="27"/>
      <sheetName val="P2.1"/>
    </sheetNames>
    <sheetDataSet>
      <sheetData sheetId="0">
        <row r="2">
          <cell r="A2" t="str">
            <v>Агинский Бурятский автономный округ</v>
          </cell>
        </row>
      </sheetData>
      <sheetData sheetId="1">
        <row r="2">
          <cell r="A2" t="str">
            <v>Агинский Бурятский автономный округ</v>
          </cell>
        </row>
      </sheetData>
      <sheetData sheetId="2">
        <row r="2">
          <cell r="A2" t="str">
            <v>Агинский Бурятский автономный округ</v>
          </cell>
        </row>
      </sheetData>
      <sheetData sheetId="3">
        <row r="2">
          <cell r="A2" t="str">
            <v>Агинский Бурятский автономный округ</v>
          </cell>
        </row>
      </sheetData>
      <sheetData sheetId="4"/>
      <sheetData sheetId="5"/>
      <sheetData sheetId="6"/>
      <sheetData sheetId="7"/>
      <sheetData sheetId="8"/>
      <sheetData sheetId="9">
        <row r="2">
          <cell r="A2" t="str">
            <v>Агинский Бурятский автономный округ</v>
          </cell>
        </row>
      </sheetData>
      <sheetData sheetId="10">
        <row r="2">
          <cell r="A2" t="str">
            <v>Агинский Бурятский автономный округ</v>
          </cell>
        </row>
      </sheetData>
      <sheetData sheetId="11">
        <row r="2">
          <cell r="A2" t="str">
            <v>Агинский Бурятский автономный округ</v>
          </cell>
        </row>
      </sheetData>
      <sheetData sheetId="12">
        <row r="2">
          <cell r="A2" t="str">
            <v>Агинский Бурятский автономный округ</v>
          </cell>
        </row>
      </sheetData>
      <sheetData sheetId="13" refreshError="1">
        <row r="2">
          <cell r="A2" t="str">
            <v>Агинский Бурятский автономный округ</v>
          </cell>
        </row>
        <row r="3">
          <cell r="A3" t="str">
            <v>Алтайский край</v>
          </cell>
        </row>
        <row r="4">
          <cell r="A4" t="str">
            <v>Амурская область</v>
          </cell>
        </row>
        <row r="5">
          <cell r="A5" t="str">
            <v>Архангельская область</v>
          </cell>
        </row>
        <row r="6">
          <cell r="A6" t="str">
            <v>Астраханская область</v>
          </cell>
        </row>
        <row r="7">
          <cell r="A7" t="str">
            <v>г.Байконур</v>
          </cell>
        </row>
        <row r="8">
          <cell r="A8" t="str">
            <v>Белгородская область</v>
          </cell>
        </row>
        <row r="9">
          <cell r="A9" t="str">
            <v>Брянская область</v>
          </cell>
        </row>
        <row r="10">
          <cell r="A10" t="str">
            <v>Владимирская область</v>
          </cell>
        </row>
        <row r="11">
          <cell r="A11" t="str">
            <v>Волгоградская область</v>
          </cell>
        </row>
        <row r="12">
          <cell r="A12" t="str">
            <v>Вологодская область</v>
          </cell>
        </row>
        <row r="13">
          <cell r="A13" t="str">
            <v>Воронежская область</v>
          </cell>
        </row>
        <row r="14">
          <cell r="A14" t="str">
            <v>Еврейская автономная область</v>
          </cell>
        </row>
        <row r="15">
          <cell r="A15" t="str">
            <v>Ивановская область</v>
          </cell>
        </row>
        <row r="16">
          <cell r="A16" t="str">
            <v>Иркутская область</v>
          </cell>
        </row>
        <row r="17">
          <cell r="A17" t="str">
            <v>Кабардино-Балкарская республика</v>
          </cell>
        </row>
        <row r="18">
          <cell r="A18" t="str">
            <v>Калининградская область</v>
          </cell>
        </row>
        <row r="19">
          <cell r="A19" t="str">
            <v>Калужская область</v>
          </cell>
        </row>
        <row r="20">
          <cell r="A20" t="str">
            <v>Камчатская область</v>
          </cell>
        </row>
        <row r="21">
          <cell r="A21" t="str">
            <v>Карачаево-Черкесская республика</v>
          </cell>
        </row>
        <row r="22">
          <cell r="A22" t="str">
            <v>Кемеровская область</v>
          </cell>
        </row>
        <row r="23">
          <cell r="A23" t="str">
            <v>Кировская область</v>
          </cell>
        </row>
        <row r="24">
          <cell r="A24" t="str">
            <v>Корякский автономный округ</v>
          </cell>
        </row>
        <row r="25">
          <cell r="A25" t="str">
            <v>Костромская область</v>
          </cell>
        </row>
        <row r="26">
          <cell r="A26" t="str">
            <v>Краснодарский край</v>
          </cell>
        </row>
        <row r="27">
          <cell r="A27" t="str">
            <v>Красноярский край</v>
          </cell>
        </row>
        <row r="28">
          <cell r="A28" t="str">
            <v>Курганская область</v>
          </cell>
        </row>
        <row r="29">
          <cell r="A29" t="str">
            <v>Курская область</v>
          </cell>
        </row>
        <row r="30">
          <cell r="A30" t="str">
            <v>Ленинградская область</v>
          </cell>
        </row>
        <row r="31">
          <cell r="A31" t="str">
            <v>Липецкая область</v>
          </cell>
        </row>
        <row r="32">
          <cell r="A32" t="str">
            <v>Магаданская область</v>
          </cell>
        </row>
        <row r="33">
          <cell r="A33" t="str">
            <v>г. Москва и Московская область</v>
          </cell>
        </row>
        <row r="34">
          <cell r="A34" t="str">
            <v>Мурманская область</v>
          </cell>
        </row>
        <row r="35">
          <cell r="A35" t="str">
            <v>Ненецкий автономный округ</v>
          </cell>
        </row>
        <row r="36">
          <cell r="A36" t="str">
            <v>Нижегородская область</v>
          </cell>
        </row>
        <row r="37">
          <cell r="A37" t="str">
            <v>Новгородская область</v>
          </cell>
        </row>
        <row r="38">
          <cell r="A38" t="str">
            <v>Новосибирская область</v>
          </cell>
        </row>
        <row r="39">
          <cell r="A39" t="str">
            <v>Омская область</v>
          </cell>
        </row>
        <row r="40">
          <cell r="A40" t="str">
            <v>Оренбургская область</v>
          </cell>
        </row>
        <row r="41">
          <cell r="A41" t="str">
            <v>Орловская область</v>
          </cell>
        </row>
        <row r="42">
          <cell r="A42" t="str">
            <v>Пензенская область</v>
          </cell>
        </row>
        <row r="43">
          <cell r="A43" t="str">
            <v>Пермская область и Коми-Пермяцкий АО</v>
          </cell>
        </row>
        <row r="44">
          <cell r="A44" t="str">
            <v>Приморский край</v>
          </cell>
        </row>
        <row r="45">
          <cell r="A45" t="str">
            <v>Псковская область</v>
          </cell>
        </row>
        <row r="46">
          <cell r="A46" t="str">
            <v>Республика Адыгея</v>
          </cell>
        </row>
        <row r="47">
          <cell r="A47" t="str">
            <v>Республика Алтай</v>
          </cell>
        </row>
        <row r="48">
          <cell r="A48" t="str">
            <v>Республика Башкортостан</v>
          </cell>
        </row>
        <row r="49">
          <cell r="A49" t="str">
            <v>Республика Бурятия</v>
          </cell>
        </row>
        <row r="50">
          <cell r="A50" t="str">
            <v>Республика Дагестан</v>
          </cell>
        </row>
        <row r="51">
          <cell r="A51" t="str">
            <v>Республика Ингушетия</v>
          </cell>
        </row>
        <row r="52">
          <cell r="A52" t="str">
            <v>Республика Калмыкия</v>
          </cell>
        </row>
        <row r="53">
          <cell r="A53" t="str">
            <v>Республика Карелия</v>
          </cell>
        </row>
        <row r="54">
          <cell r="A54" t="str">
            <v>Республика Коми</v>
          </cell>
        </row>
        <row r="55">
          <cell r="A55" t="str">
            <v>Республика Марий Эл</v>
          </cell>
        </row>
        <row r="56">
          <cell r="A56" t="str">
            <v>Республика Мордовия</v>
          </cell>
        </row>
        <row r="57">
          <cell r="A57" t="str">
            <v>Республика Саха (Якутия)</v>
          </cell>
        </row>
        <row r="58">
          <cell r="A58" t="str">
            <v>Республика Северная Осетия-Алания</v>
          </cell>
        </row>
        <row r="59">
          <cell r="A59" t="str">
            <v>Республика Татарстан</v>
          </cell>
        </row>
        <row r="60">
          <cell r="A60" t="str">
            <v>Республика Тыва</v>
          </cell>
        </row>
        <row r="61">
          <cell r="A61" t="str">
            <v>Республика Хакасия</v>
          </cell>
        </row>
        <row r="62">
          <cell r="A62" t="str">
            <v>Ростовская область</v>
          </cell>
        </row>
        <row r="63">
          <cell r="A63" t="str">
            <v>Рязанская область</v>
          </cell>
        </row>
        <row r="64">
          <cell r="A64" t="str">
            <v>Самарская область</v>
          </cell>
        </row>
        <row r="65">
          <cell r="A65" t="str">
            <v>г. Санкт-Петербург и Ленинградская область</v>
          </cell>
        </row>
        <row r="66">
          <cell r="A66" t="str">
            <v>Саратовская область</v>
          </cell>
        </row>
        <row r="67">
          <cell r="A67" t="str">
            <v>Сахалинская область</v>
          </cell>
        </row>
        <row r="68">
          <cell r="A68" t="str">
            <v>Свердловская область</v>
          </cell>
        </row>
        <row r="69">
          <cell r="A69" t="str">
            <v>Смоленская область</v>
          </cell>
        </row>
        <row r="70">
          <cell r="A70" t="str">
            <v>Ставропольский край</v>
          </cell>
        </row>
        <row r="71">
          <cell r="A71" t="str">
            <v>Таймырский (Долгано-Ненецкий) автономный округ</v>
          </cell>
        </row>
        <row r="72">
          <cell r="A72" t="str">
            <v>Тамбовская область</v>
          </cell>
        </row>
        <row r="73">
          <cell r="A73" t="str">
            <v>Тверская область</v>
          </cell>
        </row>
        <row r="74">
          <cell r="A74" t="str">
            <v>Томская область</v>
          </cell>
        </row>
        <row r="75">
          <cell r="A75" t="str">
            <v>Тульская область</v>
          </cell>
        </row>
        <row r="76">
          <cell r="A76" t="str">
            <v>Тюменская область</v>
          </cell>
        </row>
        <row r="77">
          <cell r="A77" t="str">
            <v>Удмуртская республика</v>
          </cell>
        </row>
        <row r="78">
          <cell r="A78" t="str">
            <v>Ульяновская область</v>
          </cell>
        </row>
        <row r="79">
          <cell r="A79" t="str">
            <v>Усть-Ордынский Бурятский автономный округ</v>
          </cell>
        </row>
        <row r="80">
          <cell r="A80" t="str">
            <v>Хабаровский край</v>
          </cell>
        </row>
        <row r="81">
          <cell r="A81" t="str">
            <v>Ханты-Мансийский автономный округ</v>
          </cell>
        </row>
        <row r="82">
          <cell r="A82" t="str">
            <v>Челябинская область</v>
          </cell>
        </row>
        <row r="83">
          <cell r="A83" t="str">
            <v>Чеченская республика</v>
          </cell>
        </row>
        <row r="84">
          <cell r="A84" t="str">
            <v>Читинская область</v>
          </cell>
        </row>
        <row r="85">
          <cell r="A85" t="str">
            <v>Чувашская республика</v>
          </cell>
        </row>
        <row r="86">
          <cell r="A86" t="str">
            <v>Чукотский автономный округ</v>
          </cell>
        </row>
        <row r="87">
          <cell r="A87" t="str">
            <v>Ямало-Ненецкий автономный округ</v>
          </cell>
        </row>
        <row r="88">
          <cell r="A88" t="str">
            <v>Ярославская область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Заголовок (2)"/>
      <sheetName val="Регионы"/>
      <sheetName val="исправления 30.05.2006"/>
      <sheetName val="Заголовок"/>
      <sheetName val="Содержание"/>
      <sheetName val="3"/>
      <sheetName val="4"/>
      <sheetName val="5"/>
      <sheetName val="6"/>
      <sheetName val="15"/>
      <sheetName val="16"/>
      <sheetName val="17"/>
      <sheetName val="17.1"/>
      <sheetName val="18.2"/>
      <sheetName val="20"/>
      <sheetName val="20.1"/>
      <sheetName val="21.3"/>
      <sheetName val="24"/>
      <sheetName val="25"/>
      <sheetName val="27"/>
      <sheetName val="P2.1"/>
      <sheetName val="P2.2"/>
      <sheetName val="2.3"/>
      <sheetName val="перекрестка"/>
      <sheetName val="ИТОГИ  по Н,Р,Э,Q"/>
      <sheetName val="Исходные"/>
    </sheetNames>
    <sheetDataSet>
      <sheetData sheetId="0"/>
      <sheetData sheetId="1" refreshError="1">
        <row r="2">
          <cell r="A2" t="str">
            <v>Агинский Бурятский автономный округ</v>
          </cell>
        </row>
        <row r="3">
          <cell r="A3" t="str">
            <v>Алтайский край</v>
          </cell>
        </row>
        <row r="4">
          <cell r="A4" t="str">
            <v>Амурская область</v>
          </cell>
        </row>
        <row r="5">
          <cell r="A5" t="str">
            <v>Архангельская область</v>
          </cell>
        </row>
        <row r="6">
          <cell r="A6" t="str">
            <v>Астраханская область</v>
          </cell>
        </row>
        <row r="7">
          <cell r="A7" t="str">
            <v>г.Байконур</v>
          </cell>
        </row>
        <row r="8">
          <cell r="A8" t="str">
            <v>Белгородская область</v>
          </cell>
        </row>
        <row r="9">
          <cell r="A9" t="str">
            <v>Брянская область</v>
          </cell>
        </row>
        <row r="10">
          <cell r="A10" t="str">
            <v>Владимирская область</v>
          </cell>
        </row>
        <row r="11">
          <cell r="A11" t="str">
            <v>Волгоградская область</v>
          </cell>
        </row>
        <row r="12">
          <cell r="A12" t="str">
            <v>Вологодская область</v>
          </cell>
        </row>
        <row r="13">
          <cell r="A13" t="str">
            <v>Воронежская область</v>
          </cell>
        </row>
        <row r="14">
          <cell r="A14" t="str">
            <v>Еврейская автономная область</v>
          </cell>
        </row>
        <row r="15">
          <cell r="A15" t="str">
            <v>Ивановская область</v>
          </cell>
        </row>
        <row r="16">
          <cell r="A16" t="str">
            <v>Иркутская область</v>
          </cell>
        </row>
        <row r="17">
          <cell r="A17" t="str">
            <v>Кабардино-Балкарская республика</v>
          </cell>
        </row>
        <row r="18">
          <cell r="A18" t="str">
            <v>Калининградская область</v>
          </cell>
        </row>
        <row r="19">
          <cell r="A19" t="str">
            <v>Калужская область</v>
          </cell>
        </row>
        <row r="20">
          <cell r="A20" t="str">
            <v>Камчатская область</v>
          </cell>
        </row>
        <row r="21">
          <cell r="A21" t="str">
            <v>Карачаево-Черкесская республика</v>
          </cell>
        </row>
        <row r="22">
          <cell r="A22" t="str">
            <v>Кемеровская область</v>
          </cell>
        </row>
        <row r="23">
          <cell r="A23" t="str">
            <v>Кировская область</v>
          </cell>
        </row>
        <row r="24">
          <cell r="A24" t="str">
            <v>Корякский автономный округ</v>
          </cell>
        </row>
        <row r="25">
          <cell r="A25" t="str">
            <v>Костромская область</v>
          </cell>
        </row>
        <row r="26">
          <cell r="A26" t="str">
            <v>Краснодарский край</v>
          </cell>
        </row>
        <row r="27">
          <cell r="A27" t="str">
            <v>Красноярский край</v>
          </cell>
        </row>
        <row r="28">
          <cell r="A28" t="str">
            <v>Курганская область</v>
          </cell>
        </row>
        <row r="29">
          <cell r="A29" t="str">
            <v>Курская область</v>
          </cell>
        </row>
        <row r="30">
          <cell r="A30" t="str">
            <v>Ленинградская область</v>
          </cell>
        </row>
        <row r="31">
          <cell r="A31" t="str">
            <v>Липецкая область</v>
          </cell>
        </row>
        <row r="32">
          <cell r="A32" t="str">
            <v>Магаданская область</v>
          </cell>
        </row>
        <row r="33">
          <cell r="A33" t="str">
            <v>г.Москва</v>
          </cell>
        </row>
        <row r="34">
          <cell r="A34" t="str">
            <v>Московская область</v>
          </cell>
        </row>
        <row r="35">
          <cell r="A35" t="str">
            <v>Мурманская область</v>
          </cell>
        </row>
        <row r="36">
          <cell r="A36" t="str">
            <v>Ненецкий автономный округ</v>
          </cell>
        </row>
        <row r="37">
          <cell r="A37" t="str">
            <v>Нижегородская область</v>
          </cell>
        </row>
        <row r="38">
          <cell r="A38" t="str">
            <v>Новгородская область</v>
          </cell>
        </row>
        <row r="39">
          <cell r="A39" t="str">
            <v>Новосибирская область</v>
          </cell>
        </row>
        <row r="40">
          <cell r="A40" t="str">
            <v>Омская область</v>
          </cell>
        </row>
        <row r="41">
          <cell r="A41" t="str">
            <v>Оренбургская область</v>
          </cell>
        </row>
        <row r="42">
          <cell r="A42" t="str">
            <v>Орловская область</v>
          </cell>
        </row>
        <row r="43">
          <cell r="A43" t="str">
            <v>Пензенская область</v>
          </cell>
        </row>
        <row r="44">
          <cell r="A44" t="str">
            <v>Пермский край</v>
          </cell>
        </row>
        <row r="45">
          <cell r="A45" t="str">
            <v>Приморский край</v>
          </cell>
        </row>
        <row r="46">
          <cell r="A46" t="str">
            <v>Псковская область</v>
          </cell>
        </row>
        <row r="47">
          <cell r="A47" t="str">
            <v>Республика Адыгея</v>
          </cell>
        </row>
        <row r="48">
          <cell r="A48" t="str">
            <v>Республика Алтай</v>
          </cell>
        </row>
        <row r="49">
          <cell r="A49" t="str">
            <v>Республика Башкортостан</v>
          </cell>
        </row>
        <row r="50">
          <cell r="A50" t="str">
            <v>Республика Бурятия</v>
          </cell>
        </row>
        <row r="51">
          <cell r="A51" t="str">
            <v>Республика Дагестан</v>
          </cell>
        </row>
        <row r="52">
          <cell r="A52" t="str">
            <v>Республика Ингушетия</v>
          </cell>
        </row>
        <row r="53">
          <cell r="A53" t="str">
            <v>Республика Калмыкия</v>
          </cell>
        </row>
        <row r="54">
          <cell r="A54" t="str">
            <v>Республика Карелия</v>
          </cell>
        </row>
        <row r="55">
          <cell r="A55" t="str">
            <v>Республика Коми</v>
          </cell>
        </row>
        <row r="56">
          <cell r="A56" t="str">
            <v>Республика Марий Эл</v>
          </cell>
        </row>
        <row r="57">
          <cell r="A57" t="str">
            <v>Республика Мордовия</v>
          </cell>
        </row>
        <row r="58">
          <cell r="A58" t="str">
            <v>Республика Саха (Якутия)</v>
          </cell>
        </row>
        <row r="59">
          <cell r="A59" t="str">
            <v>Республика Северная Осетия-Алания</v>
          </cell>
        </row>
        <row r="60">
          <cell r="A60" t="str">
            <v>Республика Татарстан</v>
          </cell>
        </row>
        <row r="61">
          <cell r="A61" t="str">
            <v>Республика Тыва</v>
          </cell>
        </row>
        <row r="62">
          <cell r="A62" t="str">
            <v>Республика Хакасия</v>
          </cell>
        </row>
        <row r="63">
          <cell r="A63" t="str">
            <v>Ростовская область</v>
          </cell>
        </row>
        <row r="64">
          <cell r="A64" t="str">
            <v>Рязанская область</v>
          </cell>
        </row>
        <row r="65">
          <cell r="A65" t="str">
            <v>Самарская область</v>
          </cell>
        </row>
        <row r="66">
          <cell r="A66" t="str">
            <v>г. Санкт-Петербург и Ленинградская область</v>
          </cell>
        </row>
        <row r="67">
          <cell r="A67" t="str">
            <v>Саратовская область</v>
          </cell>
        </row>
        <row r="68">
          <cell r="A68" t="str">
            <v>Сахалинская область</v>
          </cell>
        </row>
        <row r="69">
          <cell r="A69" t="str">
            <v>Свердловская область</v>
          </cell>
        </row>
        <row r="70">
          <cell r="A70" t="str">
            <v>Смоленская область</v>
          </cell>
        </row>
        <row r="71">
          <cell r="A71" t="str">
            <v>Ставропольский край</v>
          </cell>
        </row>
        <row r="72">
          <cell r="A72" t="str">
            <v>Таймырский (Долгано-Ненецкий) автономный округ</v>
          </cell>
        </row>
        <row r="73">
          <cell r="A73" t="str">
            <v>Тамбовская область</v>
          </cell>
        </row>
        <row r="74">
          <cell r="A74" t="str">
            <v>Тверская область</v>
          </cell>
        </row>
        <row r="75">
          <cell r="A75" t="str">
            <v>Томская область</v>
          </cell>
        </row>
        <row r="76">
          <cell r="A76" t="str">
            <v>Тульская область</v>
          </cell>
        </row>
        <row r="77">
          <cell r="A77" t="str">
            <v>Тюменская область</v>
          </cell>
        </row>
        <row r="78">
          <cell r="A78" t="str">
            <v>Удмуртская республика</v>
          </cell>
        </row>
        <row r="79">
          <cell r="A79" t="str">
            <v>Ульяновская область</v>
          </cell>
        </row>
        <row r="80">
          <cell r="A80" t="str">
            <v>Усть-Ордынский Бурятский автономный округ</v>
          </cell>
        </row>
        <row r="81">
          <cell r="A81" t="str">
            <v>Хабаровский край</v>
          </cell>
        </row>
        <row r="82">
          <cell r="A82" t="str">
            <v>Ханты-Мансийский автономный округ</v>
          </cell>
        </row>
        <row r="83">
          <cell r="A83" t="str">
            <v>Челябинская область</v>
          </cell>
        </row>
        <row r="84">
          <cell r="A84" t="str">
            <v>Чеченская республика</v>
          </cell>
        </row>
        <row r="85">
          <cell r="A85" t="str">
            <v>Читинская область</v>
          </cell>
        </row>
        <row r="86">
          <cell r="A86" t="str">
            <v>Чувашская республика</v>
          </cell>
        </row>
        <row r="87">
          <cell r="A87" t="str">
            <v>Чукотский автономный округ</v>
          </cell>
        </row>
        <row r="88">
          <cell r="A88" t="str">
            <v>Ямало-Ненецкий автономный округ</v>
          </cell>
        </row>
        <row r="89">
          <cell r="A89" t="str">
            <v>Ярославская область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Хасанова Мария Эльбрусовна" id="{32CDA55E-039D-0BA5-53BA-B4A55B4933B3}" userId="304" providerId="Teamlab"/>
</personList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2" unboundColumnsRight="1">
    <queryTableFields count="4">
      <queryTableField id="2" name="Column1" tableColumnId="1"/>
      <queryTableField id="5" name="_3" tableColumnId="2"/>
      <queryTableField id="7" name="_5" tableColumnId="3"/>
      <queryTableField id="11" dataBound="0" tableColumnId="4"/>
    </queryTableFields>
    <queryTableDeletedFields count="7">
      <deletedField name="_6"/>
      <deletedField name="_7"/>
      <deletedField name="_8"/>
      <deletedField name="_4"/>
      <deletedField name="_2"/>
      <deletedField name="Тип устройства,IMEI,Серийный номер,Версия монитора,Последняя активность,Android ver.,Филиал,&quot;ПО ПАУК, ver.&quot;,&quot;ПО Мобильный контролер, ver.&quot;,&quot;ПО СОУР, ver.&quot;"/>
      <deletedField name="_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_1" displayName="_1" ref="A1:D790" tableType="queryTable">
  <autoFilter ref="A1:D790"/>
  <tableColumns count="4">
    <tableColumn id="1" uniqueName="2" name="IMEI" queryTableFieldId="2" dataDxfId="3"/>
    <tableColumn id="2" uniqueName="5" name="Дата активности" queryTableFieldId="5" dataDxfId="2"/>
    <tableColumn id="3" uniqueName="7" name="Филиал" queryTableFieldId="7" dataDxfId="1"/>
    <tableColumn id="4" uniqueName="1" name="APN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83" dT="2024-02-19T10:51:54.93Z" personId="{32CDA55E-039D-0BA5-53BA-B4A55B4933B3}" id="{8BC4477F-C191-7B79-13F7-E61EBA1AB064}" done="0">
    <text xml:space="preserve">Ижевские электрические сети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K217"/>
  <sheetViews>
    <sheetView tabSelected="1" zoomScale="70" zoomScaleNormal="70" workbookViewId="0">
      <pane ySplit="1" topLeftCell="A2" activePane="bottomLeft" state="frozen"/>
      <selection activeCell="E199" sqref="E199"/>
      <selection pane="bottomLeft" sqref="A1:A1048576"/>
    </sheetView>
  </sheetViews>
  <sheetFormatPr defaultColWidth="8.6640625" defaultRowHeight="13.8" x14ac:dyDescent="0.25"/>
  <cols>
    <col min="1" max="1" width="3.44140625" style="1" customWidth="1"/>
    <col min="2" max="2" width="12" style="2" customWidth="1"/>
    <col min="3" max="3" width="20.88671875" style="3" customWidth="1"/>
    <col min="4" max="4" width="17.77734375" style="3" customWidth="1"/>
    <col min="5" max="5" width="12.21875" style="4" customWidth="1"/>
    <col min="6" max="6" width="24.5546875" style="1" customWidth="1"/>
    <col min="7" max="7" width="24.109375" style="1" customWidth="1"/>
    <col min="8" max="8" width="32.33203125" style="1" customWidth="1"/>
    <col min="9" max="9" width="19.6640625" style="1" customWidth="1"/>
    <col min="10" max="10" width="28.6640625" style="1" customWidth="1"/>
    <col min="11" max="11" width="18" style="1" customWidth="1"/>
    <col min="12" max="16384" width="8.6640625" style="1"/>
  </cols>
  <sheetData>
    <row r="1" spans="1:11" ht="13.95" customHeight="1" x14ac:dyDescent="0.25">
      <c r="B1" s="5" t="s">
        <v>0</v>
      </c>
      <c r="C1" s="5" t="s">
        <v>1</v>
      </c>
      <c r="D1" s="5" t="s">
        <v>2</v>
      </c>
      <c r="E1" s="6" t="s">
        <v>3</v>
      </c>
      <c r="F1" s="5" t="s">
        <v>4</v>
      </c>
      <c r="G1" s="5" t="s">
        <v>5</v>
      </c>
      <c r="H1" s="1" t="s">
        <v>6</v>
      </c>
      <c r="I1" s="1" t="s">
        <v>7</v>
      </c>
      <c r="J1" s="1" t="s">
        <v>8</v>
      </c>
      <c r="K1" s="1" t="s">
        <v>7</v>
      </c>
    </row>
    <row r="2" spans="1:11" ht="15" customHeight="1" x14ac:dyDescent="0.25">
      <c r="A2" s="1">
        <v>1</v>
      </c>
      <c r="B2" s="7" t="s">
        <v>9</v>
      </c>
      <c r="C2" s="8" t="s">
        <v>10</v>
      </c>
      <c r="D2" s="7" t="s">
        <v>11</v>
      </c>
      <c r="E2" s="9" t="s">
        <v>12</v>
      </c>
      <c r="F2" s="10">
        <v>358205086910745</v>
      </c>
      <c r="G2" s="11" t="str">
        <f>IF(IFERROR(MATCH(F2,МДМ!$A:$A,0),0)=0,"Не установлено","Установлено")</f>
        <v>Установлено</v>
      </c>
    </row>
    <row r="3" spans="1:11" ht="15" customHeight="1" x14ac:dyDescent="0.25">
      <c r="A3" s="1">
        <v>2</v>
      </c>
      <c r="B3" s="7" t="s">
        <v>9</v>
      </c>
      <c r="C3" s="8" t="s">
        <v>10</v>
      </c>
      <c r="D3" s="7" t="s">
        <v>13</v>
      </c>
      <c r="E3" s="9" t="s">
        <v>14</v>
      </c>
      <c r="F3" s="10">
        <v>358205083587181</v>
      </c>
      <c r="G3" s="11" t="str">
        <f>IF(IFERROR(MATCH(F3,МДМ!$A:$A,0),0)=0,"Не установлено","Установлено")</f>
        <v>Установлено</v>
      </c>
      <c r="H3" s="1" t="s">
        <v>231</v>
      </c>
      <c r="I3" s="1">
        <v>9102215242</v>
      </c>
    </row>
    <row r="4" spans="1:11" ht="15" customHeight="1" x14ac:dyDescent="0.25">
      <c r="A4" s="1">
        <v>3</v>
      </c>
      <c r="B4" s="7" t="s">
        <v>9</v>
      </c>
      <c r="C4" s="8" t="s">
        <v>10</v>
      </c>
      <c r="D4" s="7" t="s">
        <v>15</v>
      </c>
      <c r="E4" s="9" t="s">
        <v>16</v>
      </c>
      <c r="F4" s="10">
        <v>358205082874705</v>
      </c>
      <c r="G4" s="11" t="str">
        <f>IF(IFERROR(MATCH(F4,МДМ!$A:$A,0),0)=0,"Не установлено","Установлено")</f>
        <v>Установлено</v>
      </c>
      <c r="H4" s="1" t="s">
        <v>232</v>
      </c>
      <c r="I4" s="1">
        <v>9803940075</v>
      </c>
    </row>
    <row r="5" spans="1:11" ht="15" customHeight="1" x14ac:dyDescent="0.25">
      <c r="A5" s="1">
        <v>4</v>
      </c>
      <c r="B5" s="7" t="s">
        <v>9</v>
      </c>
      <c r="C5" s="8" t="s">
        <v>10</v>
      </c>
      <c r="D5" s="7" t="s">
        <v>17</v>
      </c>
      <c r="E5" s="9" t="s">
        <v>18</v>
      </c>
      <c r="F5" s="10">
        <v>358205086906560</v>
      </c>
      <c r="G5" s="11" t="str">
        <f>IF(IFERROR(MATCH(F5,МДМ!$A:$A,0),0)=0,"Не установлено","Установлено")</f>
        <v>Установлено</v>
      </c>
      <c r="H5" s="1" t="s">
        <v>233</v>
      </c>
      <c r="I5" s="1">
        <v>9102215254</v>
      </c>
    </row>
    <row r="6" spans="1:11" ht="15" customHeight="1" x14ac:dyDescent="0.25">
      <c r="A6" s="1">
        <v>5</v>
      </c>
      <c r="B6" s="7" t="s">
        <v>9</v>
      </c>
      <c r="C6" s="8" t="s">
        <v>10</v>
      </c>
      <c r="D6" s="7" t="s">
        <v>19</v>
      </c>
      <c r="E6" s="9" t="s">
        <v>20</v>
      </c>
      <c r="F6" s="10">
        <v>358205086909002</v>
      </c>
      <c r="G6" s="11" t="str">
        <f>IF(IFERROR(MATCH(F6,МДМ!$A:$A,0),0)=0,"Не установлено","Установлено")</f>
        <v>Не установлено</v>
      </c>
      <c r="H6" s="1" t="s">
        <v>234</v>
      </c>
      <c r="I6" s="1">
        <v>9102215277</v>
      </c>
    </row>
    <row r="7" spans="1:11" ht="15" customHeight="1" x14ac:dyDescent="0.25">
      <c r="A7" s="1">
        <v>6</v>
      </c>
      <c r="B7" s="7" t="s">
        <v>9</v>
      </c>
      <c r="C7" s="8" t="s">
        <v>10</v>
      </c>
      <c r="D7" s="7" t="s">
        <v>21</v>
      </c>
      <c r="E7" s="9" t="s">
        <v>22</v>
      </c>
      <c r="F7" s="10">
        <v>358205082874911</v>
      </c>
      <c r="G7" s="11" t="str">
        <f>IF(IFERROR(MATCH(F7,МДМ!$A:$A,0),0)=0,"Не установлено","Установлено")</f>
        <v>Установлено</v>
      </c>
      <c r="H7" s="1" t="s">
        <v>235</v>
      </c>
      <c r="I7" s="1">
        <v>9102215066</v>
      </c>
    </row>
    <row r="8" spans="1:11" ht="15" customHeight="1" x14ac:dyDescent="0.25">
      <c r="A8" s="1">
        <v>7</v>
      </c>
      <c r="B8" s="7" t="s">
        <v>9</v>
      </c>
      <c r="C8" s="8" t="s">
        <v>10</v>
      </c>
      <c r="D8" s="7" t="s">
        <v>23</v>
      </c>
      <c r="E8" s="9" t="s">
        <v>24</v>
      </c>
      <c r="F8" s="12">
        <v>358205086913533</v>
      </c>
      <c r="G8" s="11" t="str">
        <f>IF(IFERROR(MATCH(F8,МДМ!$A:$A,0),0)=0,"Не установлено","Установлено")</f>
        <v>Установлено</v>
      </c>
      <c r="H8" s="1" t="s">
        <v>236</v>
      </c>
      <c r="I8" s="1">
        <v>9102215246</v>
      </c>
    </row>
    <row r="9" spans="1:11" ht="15" customHeight="1" x14ac:dyDescent="0.25">
      <c r="A9" s="1">
        <v>8</v>
      </c>
      <c r="B9" s="7" t="s">
        <v>9</v>
      </c>
      <c r="C9" s="8" t="s">
        <v>10</v>
      </c>
      <c r="D9" s="7" t="s">
        <v>25</v>
      </c>
      <c r="E9" s="9" t="s">
        <v>26</v>
      </c>
      <c r="F9" s="12">
        <v>358205086913657</v>
      </c>
      <c r="G9" s="11" t="str">
        <f>IF(IFERROR(MATCH(F9,МДМ!$A:$A,0),0)=0,"Не установлено","Установлено")</f>
        <v>Установлено</v>
      </c>
      <c r="H9" s="1" t="s">
        <v>237</v>
      </c>
      <c r="I9" s="1">
        <v>9192296984</v>
      </c>
    </row>
    <row r="10" spans="1:11" ht="15" customHeight="1" x14ac:dyDescent="0.25">
      <c r="A10" s="1">
        <v>9</v>
      </c>
      <c r="B10" s="7" t="s">
        <v>9</v>
      </c>
      <c r="C10" s="8" t="s">
        <v>10</v>
      </c>
      <c r="D10" s="7" t="s">
        <v>27</v>
      </c>
      <c r="E10" s="9" t="s">
        <v>28</v>
      </c>
      <c r="F10" s="12">
        <v>358205082874960</v>
      </c>
      <c r="G10" s="11" t="str">
        <f>IF(IFERROR(MATCH(F10,МДМ!$A:$A,0),0)=0,"Не установлено","Установлено")</f>
        <v>Установлено</v>
      </c>
      <c r="H10" s="1" t="s">
        <v>238</v>
      </c>
      <c r="I10" s="1">
        <v>9102215275</v>
      </c>
    </row>
    <row r="11" spans="1:11" ht="15" customHeight="1" x14ac:dyDescent="0.25">
      <c r="A11" s="1">
        <v>10</v>
      </c>
      <c r="B11" s="7" t="s">
        <v>9</v>
      </c>
      <c r="C11" s="8" t="s">
        <v>10</v>
      </c>
      <c r="D11" s="7" t="s">
        <v>29</v>
      </c>
      <c r="E11" s="9" t="s">
        <v>30</v>
      </c>
      <c r="F11" s="12">
        <v>358205086909671</v>
      </c>
      <c r="G11" s="11" t="str">
        <f>IF(IFERROR(MATCH(F11,МДМ!$A:$A,0),0)=0,"Не установлено","Установлено")</f>
        <v>Не установлено</v>
      </c>
      <c r="H11" s="1" t="s">
        <v>239</v>
      </c>
      <c r="I11" s="1">
        <v>9192296052</v>
      </c>
    </row>
    <row r="12" spans="1:11" ht="15" customHeight="1" x14ac:dyDescent="0.25">
      <c r="A12" s="1">
        <v>11</v>
      </c>
      <c r="B12" s="7" t="s">
        <v>9</v>
      </c>
      <c r="C12" s="13" t="s">
        <v>10</v>
      </c>
      <c r="D12" s="14" t="s">
        <v>31</v>
      </c>
      <c r="E12" s="9" t="s">
        <v>32</v>
      </c>
      <c r="F12" s="12">
        <v>358205086912220</v>
      </c>
      <c r="G12" s="11" t="str">
        <f>IF(IFERROR(MATCH(F12,МДМ!$A:$A,0),0)=0,"Не установлено","Установлено")</f>
        <v>Не установлено</v>
      </c>
      <c r="H12" s="1" t="s">
        <v>240</v>
      </c>
      <c r="I12" s="1">
        <v>9192296380</v>
      </c>
    </row>
    <row r="13" spans="1:11" ht="15" customHeight="1" x14ac:dyDescent="0.25">
      <c r="A13" s="1">
        <v>12</v>
      </c>
      <c r="B13" s="7" t="s">
        <v>9</v>
      </c>
      <c r="C13" s="13" t="s">
        <v>10</v>
      </c>
      <c r="D13" s="14" t="s">
        <v>33</v>
      </c>
      <c r="E13" s="9" t="s">
        <v>34</v>
      </c>
      <c r="F13" s="12">
        <v>358205083585870</v>
      </c>
      <c r="G13" s="11" t="str">
        <f>IF(IFERROR(MATCH(F13,МДМ!$A:$A,0),0)=0,"Не установлено","Установлено")</f>
        <v>Не установлено</v>
      </c>
      <c r="H13" s="1" t="s">
        <v>241</v>
      </c>
      <c r="I13" s="1">
        <v>9155706670</v>
      </c>
    </row>
    <row r="14" spans="1:11" ht="15" customHeight="1" x14ac:dyDescent="0.25">
      <c r="A14" s="1">
        <v>13</v>
      </c>
      <c r="B14" s="7" t="s">
        <v>9</v>
      </c>
      <c r="C14" s="13" t="s">
        <v>10</v>
      </c>
      <c r="D14" s="14" t="s">
        <v>35</v>
      </c>
      <c r="E14" s="9" t="s">
        <v>36</v>
      </c>
      <c r="F14" s="12">
        <v>358205086913061</v>
      </c>
      <c r="G14" s="11" t="str">
        <f>IF(IFERROR(MATCH(F14,МДМ!$A:$A,0),0)=0,"Не установлено","Установлено")</f>
        <v>Установлено</v>
      </c>
      <c r="H14" s="1" t="s">
        <v>242</v>
      </c>
      <c r="I14" s="1">
        <v>9102215829</v>
      </c>
    </row>
    <row r="15" spans="1:11" ht="15" customHeight="1" x14ac:dyDescent="0.25">
      <c r="A15" s="1">
        <v>14</v>
      </c>
      <c r="B15" s="7" t="s">
        <v>9</v>
      </c>
      <c r="C15" s="8" t="s">
        <v>37</v>
      </c>
      <c r="D15" s="7" t="s">
        <v>38</v>
      </c>
      <c r="E15" s="9">
        <v>9206031225</v>
      </c>
      <c r="F15" s="10">
        <v>358205080871745</v>
      </c>
      <c r="G15" s="11" t="str">
        <f>IF(IFERROR(MATCH(F15,МДМ!$A:$A,0),0)=0,"Не установлено","Установлено")</f>
        <v>Не установлено</v>
      </c>
      <c r="H15" s="1" t="s">
        <v>243</v>
      </c>
      <c r="I15" s="1">
        <v>9191913044</v>
      </c>
    </row>
    <row r="16" spans="1:11" ht="15" customHeight="1" x14ac:dyDescent="0.25">
      <c r="A16" s="1">
        <v>15</v>
      </c>
      <c r="B16" s="7" t="s">
        <v>9</v>
      </c>
      <c r="C16" s="8" t="s">
        <v>37</v>
      </c>
      <c r="D16" s="7" t="s">
        <v>39</v>
      </c>
      <c r="E16" s="9">
        <v>9206031976</v>
      </c>
      <c r="F16" s="10">
        <v>358205080845988</v>
      </c>
      <c r="G16" s="11" t="str">
        <f>IF(IFERROR(MATCH(F16,МДМ!$A:$A,0),0)=0,"Не установлено","Установлено")</f>
        <v>Не установлено</v>
      </c>
      <c r="H16" s="1" t="s">
        <v>244</v>
      </c>
      <c r="I16" s="1">
        <v>9155356861</v>
      </c>
    </row>
    <row r="17" spans="1:9" ht="15" customHeight="1" x14ac:dyDescent="0.25">
      <c r="A17" s="1">
        <v>16</v>
      </c>
      <c r="B17" s="7" t="s">
        <v>9</v>
      </c>
      <c r="C17" s="8" t="s">
        <v>37</v>
      </c>
      <c r="D17" s="7" t="s">
        <v>40</v>
      </c>
      <c r="E17" s="9">
        <v>9206032134</v>
      </c>
      <c r="F17" s="10">
        <v>358205080847315</v>
      </c>
      <c r="G17" s="11" t="str">
        <f>IF(IFERROR(MATCH(F17,МДМ!$A:$A,0),0)=0,"Не установлено","Установлено")</f>
        <v>Установлено</v>
      </c>
      <c r="H17" s="1" t="s">
        <v>245</v>
      </c>
      <c r="I17" s="1">
        <v>9102301812</v>
      </c>
    </row>
    <row r="18" spans="1:9" ht="15" customHeight="1" x14ac:dyDescent="0.25">
      <c r="A18" s="1">
        <v>17</v>
      </c>
      <c r="B18" s="7" t="s">
        <v>9</v>
      </c>
      <c r="C18" s="13" t="s">
        <v>37</v>
      </c>
      <c r="D18" s="14" t="s">
        <v>41</v>
      </c>
      <c r="E18" s="9">
        <v>9206031245</v>
      </c>
      <c r="F18" s="10">
        <v>358205080898136</v>
      </c>
      <c r="G18" s="11" t="str">
        <f>IF(IFERROR(MATCH(F18,МДМ!$A:$A,0),0)=0,"Не установлено","Установлено")</f>
        <v>Установлено</v>
      </c>
      <c r="H18" s="1" t="s">
        <v>246</v>
      </c>
      <c r="I18" s="1">
        <v>9803021850</v>
      </c>
    </row>
    <row r="19" spans="1:9" ht="15" customHeight="1" x14ac:dyDescent="0.25">
      <c r="A19" s="1">
        <v>18</v>
      </c>
      <c r="B19" s="15" t="s">
        <v>42</v>
      </c>
      <c r="C19" s="8" t="s">
        <v>43</v>
      </c>
      <c r="D19" s="15" t="s">
        <v>44</v>
      </c>
      <c r="E19" s="9" t="s">
        <v>45</v>
      </c>
      <c r="F19" s="16">
        <v>358205080890570</v>
      </c>
      <c r="G19" s="11" t="str">
        <f>IF(IFERROR(MATCH(F19,МДМ!$A:$A,0),0)=0,"Не установлено","Установлено")</f>
        <v>Установлено</v>
      </c>
      <c r="H19" s="1" t="s">
        <v>247</v>
      </c>
      <c r="I19" s="1">
        <v>9200556534</v>
      </c>
    </row>
    <row r="20" spans="1:9" ht="15" customHeight="1" x14ac:dyDescent="0.25">
      <c r="A20" s="1">
        <v>19</v>
      </c>
      <c r="B20" s="15" t="s">
        <v>42</v>
      </c>
      <c r="C20" s="8" t="s">
        <v>43</v>
      </c>
      <c r="D20" s="15" t="s">
        <v>44</v>
      </c>
      <c r="E20" s="9" t="s">
        <v>45</v>
      </c>
      <c r="F20" s="16">
        <v>358205080890539</v>
      </c>
      <c r="G20" s="11" t="str">
        <f>IF(IFERROR(MATCH(F20,МДМ!$A:$A,0),0)=0,"Не установлено","Установлено")</f>
        <v>Не установлено</v>
      </c>
      <c r="H20" s="1" t="s">
        <v>247</v>
      </c>
      <c r="I20" s="1">
        <v>9200556534</v>
      </c>
    </row>
    <row r="21" spans="1:9" ht="15" customHeight="1" x14ac:dyDescent="0.25">
      <c r="A21" s="1">
        <v>20</v>
      </c>
      <c r="B21" s="15" t="s">
        <v>42</v>
      </c>
      <c r="C21" s="8" t="s">
        <v>43</v>
      </c>
      <c r="D21" s="15" t="s">
        <v>44</v>
      </c>
      <c r="E21" s="9" t="s">
        <v>45</v>
      </c>
      <c r="F21" s="16">
        <v>358205080889770</v>
      </c>
      <c r="G21" s="11" t="str">
        <f>IF(IFERROR(MATCH(F21,МДМ!$A:$A,0),0)=0,"Не установлено","Установлено")</f>
        <v>Не установлено</v>
      </c>
      <c r="H21" s="1" t="s">
        <v>247</v>
      </c>
      <c r="I21" s="1">
        <v>9200556534</v>
      </c>
    </row>
    <row r="22" spans="1:9" ht="15" customHeight="1" x14ac:dyDescent="0.25">
      <c r="A22" s="1">
        <v>21</v>
      </c>
      <c r="B22" s="15" t="s">
        <v>42</v>
      </c>
      <c r="C22" s="8" t="s">
        <v>43</v>
      </c>
      <c r="D22" s="15" t="s">
        <v>44</v>
      </c>
      <c r="E22" s="9" t="s">
        <v>45</v>
      </c>
      <c r="F22" s="16">
        <v>358205080890927</v>
      </c>
      <c r="G22" s="11" t="str">
        <f>IF(IFERROR(MATCH(F22,МДМ!$A:$A,0),0)=0,"Не установлено","Установлено")</f>
        <v>Не установлено</v>
      </c>
      <c r="H22" s="1" t="s">
        <v>247</v>
      </c>
      <c r="I22" s="1">
        <v>9200556534</v>
      </c>
    </row>
    <row r="23" spans="1:9" ht="15" customHeight="1" x14ac:dyDescent="0.25">
      <c r="A23" s="1">
        <v>22</v>
      </c>
      <c r="B23" s="15" t="s">
        <v>42</v>
      </c>
      <c r="C23" s="8" t="s">
        <v>43</v>
      </c>
      <c r="D23" s="15" t="s">
        <v>46</v>
      </c>
      <c r="E23" s="9" t="s">
        <v>47</v>
      </c>
      <c r="F23" s="16">
        <v>358205080900120</v>
      </c>
      <c r="G23" s="11" t="str">
        <f>IF(IFERROR(MATCH(F23,МДМ!$A:$A,0),0)=0,"Не установлено","Установлено")</f>
        <v>Не установлено</v>
      </c>
      <c r="H23" s="1" t="s">
        <v>248</v>
      </c>
      <c r="I23" s="1">
        <v>9100369328</v>
      </c>
    </row>
    <row r="24" spans="1:9" ht="15" customHeight="1" x14ac:dyDescent="0.25">
      <c r="A24" s="1">
        <v>23</v>
      </c>
      <c r="B24" s="15" t="s">
        <v>42</v>
      </c>
      <c r="C24" s="8" t="s">
        <v>43</v>
      </c>
      <c r="D24" s="15" t="s">
        <v>46</v>
      </c>
      <c r="E24" s="9" t="s">
        <v>47</v>
      </c>
      <c r="F24" s="16">
        <v>358205080890547</v>
      </c>
      <c r="G24" s="11" t="str">
        <f>IF(IFERROR(MATCH(F24,МДМ!$A:$A,0),0)=0,"Не установлено","Установлено")</f>
        <v>Не установлено</v>
      </c>
      <c r="H24" s="1" t="s">
        <v>248</v>
      </c>
      <c r="I24" s="1">
        <v>9100369328</v>
      </c>
    </row>
    <row r="25" spans="1:9" ht="15" customHeight="1" x14ac:dyDescent="0.25">
      <c r="A25" s="1">
        <v>24</v>
      </c>
      <c r="B25" s="15" t="s">
        <v>42</v>
      </c>
      <c r="C25" s="8" t="s">
        <v>43</v>
      </c>
      <c r="D25" s="15" t="s">
        <v>46</v>
      </c>
      <c r="E25" s="9" t="s">
        <v>47</v>
      </c>
      <c r="F25" s="16">
        <v>358205080890760</v>
      </c>
      <c r="G25" s="11" t="str">
        <f>IF(IFERROR(MATCH(F25,МДМ!$A:$A,0),0)=0,"Не установлено","Установлено")</f>
        <v>Не установлено</v>
      </c>
      <c r="H25" s="1" t="s">
        <v>248</v>
      </c>
      <c r="I25" s="1">
        <v>9100369328</v>
      </c>
    </row>
    <row r="26" spans="1:9" ht="15" customHeight="1" x14ac:dyDescent="0.25">
      <c r="A26" s="1">
        <v>25</v>
      </c>
      <c r="B26" s="15" t="s">
        <v>42</v>
      </c>
      <c r="C26" s="8" t="s">
        <v>43</v>
      </c>
      <c r="D26" s="15" t="s">
        <v>48</v>
      </c>
      <c r="E26" s="9" t="s">
        <v>49</v>
      </c>
      <c r="F26" s="16">
        <v>358205080903639</v>
      </c>
      <c r="G26" s="11" t="str">
        <f>IF(IFERROR(MATCH(F26,МДМ!$A:$A,0),0)=0,"Не установлено","Установлено")</f>
        <v>Не установлено</v>
      </c>
      <c r="H26" s="1" t="s">
        <v>249</v>
      </c>
      <c r="I26" s="1">
        <v>9100362352</v>
      </c>
    </row>
    <row r="27" spans="1:9" ht="15" customHeight="1" x14ac:dyDescent="0.25">
      <c r="A27" s="1">
        <v>26</v>
      </c>
      <c r="B27" s="15" t="s">
        <v>42</v>
      </c>
      <c r="C27" s="8" t="s">
        <v>43</v>
      </c>
      <c r="D27" s="15" t="s">
        <v>48</v>
      </c>
      <c r="E27" s="9" t="s">
        <v>49</v>
      </c>
      <c r="F27" s="16">
        <v>358205080903670</v>
      </c>
      <c r="G27" s="11" t="str">
        <f>IF(IFERROR(MATCH(F27,МДМ!$A:$A,0),0)=0,"Не установлено","Установлено")</f>
        <v>Установлено</v>
      </c>
      <c r="H27" s="1" t="s">
        <v>249</v>
      </c>
      <c r="I27" s="1">
        <v>9100362352</v>
      </c>
    </row>
    <row r="28" spans="1:9" ht="15" customHeight="1" x14ac:dyDescent="0.25">
      <c r="A28" s="1">
        <v>27</v>
      </c>
      <c r="B28" s="15" t="s">
        <v>42</v>
      </c>
      <c r="C28" s="8" t="s">
        <v>43</v>
      </c>
      <c r="D28" s="15" t="s">
        <v>48</v>
      </c>
      <c r="E28" s="9" t="s">
        <v>49</v>
      </c>
      <c r="F28" s="16">
        <v>358205080903696</v>
      </c>
      <c r="G28" s="11" t="str">
        <f>IF(IFERROR(MATCH(F28,МДМ!$A:$A,0),0)=0,"Не установлено","Установлено")</f>
        <v>Установлено</v>
      </c>
      <c r="H28" s="1" t="s">
        <v>249</v>
      </c>
      <c r="I28" s="1">
        <v>9100362352</v>
      </c>
    </row>
    <row r="29" spans="1:9" ht="15" customHeight="1" x14ac:dyDescent="0.25">
      <c r="A29" s="1">
        <v>28</v>
      </c>
      <c r="B29" s="15" t="s">
        <v>42</v>
      </c>
      <c r="C29" s="8" t="s">
        <v>43</v>
      </c>
      <c r="D29" s="15" t="s">
        <v>48</v>
      </c>
      <c r="E29" s="9" t="s">
        <v>49</v>
      </c>
      <c r="F29" s="16">
        <v>358205083574502</v>
      </c>
      <c r="G29" s="11" t="str">
        <f>IF(IFERROR(MATCH(F29,МДМ!$A:$A,0),0)=0,"Не установлено","Установлено")</f>
        <v>Установлено</v>
      </c>
      <c r="H29" s="1" t="s">
        <v>249</v>
      </c>
      <c r="I29" s="1">
        <v>9100362352</v>
      </c>
    </row>
    <row r="30" spans="1:9" ht="15" customHeight="1" x14ac:dyDescent="0.25">
      <c r="A30" s="1">
        <v>29</v>
      </c>
      <c r="B30" s="15" t="s">
        <v>42</v>
      </c>
      <c r="C30" s="8" t="s">
        <v>43</v>
      </c>
      <c r="D30" s="15" t="s">
        <v>48</v>
      </c>
      <c r="E30" s="9" t="s">
        <v>49</v>
      </c>
      <c r="F30" s="16">
        <v>358205086913806</v>
      </c>
      <c r="G30" s="11" t="str">
        <f>IF(IFERROR(MATCH(F30,МДМ!$A:$A,0),0)=0,"Не установлено","Установлено")</f>
        <v>Установлено</v>
      </c>
      <c r="H30" s="1" t="s">
        <v>249</v>
      </c>
      <c r="I30" s="1">
        <v>9100362352</v>
      </c>
    </row>
    <row r="31" spans="1:9" ht="15" customHeight="1" x14ac:dyDescent="0.25">
      <c r="A31" s="1">
        <v>30</v>
      </c>
      <c r="B31" s="15" t="s">
        <v>42</v>
      </c>
      <c r="C31" s="8" t="s">
        <v>43</v>
      </c>
      <c r="D31" s="15" t="s">
        <v>48</v>
      </c>
      <c r="E31" s="9" t="s">
        <v>49</v>
      </c>
      <c r="F31" s="16">
        <v>358205080903225</v>
      </c>
      <c r="G31" s="11" t="str">
        <f>IF(IFERROR(MATCH(F31,МДМ!$A:$A,0),0)=0,"Не установлено","Установлено")</f>
        <v>Установлено</v>
      </c>
      <c r="H31" s="1" t="s">
        <v>249</v>
      </c>
      <c r="I31" s="1">
        <v>9100362352</v>
      </c>
    </row>
    <row r="32" spans="1:9" ht="15" customHeight="1" x14ac:dyDescent="0.25">
      <c r="A32" s="1">
        <v>31</v>
      </c>
      <c r="B32" s="15" t="s">
        <v>42</v>
      </c>
      <c r="C32" s="8" t="s">
        <v>43</v>
      </c>
      <c r="D32" s="15" t="s">
        <v>50</v>
      </c>
      <c r="E32" s="9" t="s">
        <v>51</v>
      </c>
      <c r="F32" s="16">
        <v>358205080903332</v>
      </c>
      <c r="G32" s="11" t="str">
        <f>IF(IFERROR(MATCH(F32,МДМ!$A:$A,0),0)=0,"Не установлено","Установлено")</f>
        <v>Установлено</v>
      </c>
      <c r="H32" s="1" t="s">
        <v>250</v>
      </c>
      <c r="I32" s="1">
        <v>9106765272</v>
      </c>
    </row>
    <row r="33" spans="1:9" ht="15" customHeight="1" x14ac:dyDescent="0.25">
      <c r="A33" s="1">
        <v>32</v>
      </c>
      <c r="B33" s="15" t="s">
        <v>42</v>
      </c>
      <c r="C33" s="8" t="s">
        <v>43</v>
      </c>
      <c r="D33" s="15" t="s">
        <v>50</v>
      </c>
      <c r="E33" s="9" t="s">
        <v>51</v>
      </c>
      <c r="F33" s="16">
        <v>358205083574577</v>
      </c>
      <c r="G33" s="11" t="str">
        <f>IF(IFERROR(MATCH(F33,МДМ!$A:$A,0),0)=0,"Не установлено","Установлено")</f>
        <v>Не установлено</v>
      </c>
      <c r="H33" s="1" t="s">
        <v>250</v>
      </c>
      <c r="I33" s="1">
        <v>9106765272</v>
      </c>
    </row>
    <row r="34" spans="1:9" ht="15" customHeight="1" x14ac:dyDescent="0.25">
      <c r="A34" s="1">
        <v>33</v>
      </c>
      <c r="B34" s="15" t="s">
        <v>42</v>
      </c>
      <c r="C34" s="8" t="s">
        <v>43</v>
      </c>
      <c r="D34" s="15" t="s">
        <v>52</v>
      </c>
      <c r="E34" s="17" t="s">
        <v>53</v>
      </c>
      <c r="F34" s="16">
        <v>358205080889887</v>
      </c>
      <c r="G34" s="11" t="str">
        <f>IF(IFERROR(MATCH(F34,МДМ!$A:$A,0),0)=0,"Не установлено","Установлено")</f>
        <v>Установлено</v>
      </c>
      <c r="H34" s="1" t="s">
        <v>251</v>
      </c>
      <c r="I34" s="1" t="s">
        <v>227</v>
      </c>
    </row>
    <row r="35" spans="1:9" ht="15" customHeight="1" x14ac:dyDescent="0.25">
      <c r="A35" s="1">
        <v>34</v>
      </c>
      <c r="B35" s="15" t="s">
        <v>42</v>
      </c>
      <c r="C35" s="8" t="s">
        <v>43</v>
      </c>
      <c r="D35" s="15" t="s">
        <v>52</v>
      </c>
      <c r="E35" s="17" t="s">
        <v>53</v>
      </c>
      <c r="F35" s="16">
        <v>358205080889838</v>
      </c>
      <c r="G35" s="11" t="str">
        <f>IF(IFERROR(MATCH(F35,МДМ!$A:$A,0),0)=0,"Не установлено","Установлено")</f>
        <v>Не установлено</v>
      </c>
      <c r="H35" s="1" t="s">
        <v>251</v>
      </c>
      <c r="I35" s="1" t="s">
        <v>227</v>
      </c>
    </row>
    <row r="36" spans="1:9" ht="15" customHeight="1" x14ac:dyDescent="0.25">
      <c r="A36" s="1">
        <v>35</v>
      </c>
      <c r="B36" s="15" t="s">
        <v>42</v>
      </c>
      <c r="C36" s="8" t="s">
        <v>43</v>
      </c>
      <c r="D36" s="15" t="s">
        <v>52</v>
      </c>
      <c r="E36" s="17" t="s">
        <v>53</v>
      </c>
      <c r="F36" s="16">
        <v>358205080890067</v>
      </c>
      <c r="G36" s="11" t="str">
        <f>IF(IFERROR(MATCH(F36,МДМ!$A:$A,0),0)=0,"Не установлено","Установлено")</f>
        <v>Не установлено</v>
      </c>
      <c r="H36" s="1" t="s">
        <v>251</v>
      </c>
      <c r="I36" s="1" t="s">
        <v>227</v>
      </c>
    </row>
    <row r="37" spans="1:9" ht="15" customHeight="1" x14ac:dyDescent="0.25">
      <c r="A37" s="1">
        <v>36</v>
      </c>
      <c r="B37" s="15" t="s">
        <v>42</v>
      </c>
      <c r="C37" s="8" t="s">
        <v>43</v>
      </c>
      <c r="D37" s="15" t="s">
        <v>54</v>
      </c>
      <c r="E37" s="17" t="s">
        <v>55</v>
      </c>
      <c r="F37" s="16">
        <v>358205080890661</v>
      </c>
      <c r="G37" s="11" t="str">
        <f>IF(IFERROR(MATCH(F37,МДМ!$A:$A,0),0)=0,"Не установлено","Установлено")</f>
        <v>Установлено</v>
      </c>
      <c r="H37" s="1" t="s">
        <v>252</v>
      </c>
      <c r="I37" s="1">
        <v>9106765924</v>
      </c>
    </row>
    <row r="38" spans="1:9" ht="15" customHeight="1" x14ac:dyDescent="0.25">
      <c r="A38" s="1">
        <v>37</v>
      </c>
      <c r="B38" s="15" t="s">
        <v>42</v>
      </c>
      <c r="C38" s="8" t="s">
        <v>43</v>
      </c>
      <c r="D38" s="15" t="s">
        <v>54</v>
      </c>
      <c r="E38" s="17" t="s">
        <v>55</v>
      </c>
      <c r="F38" s="16">
        <v>358205080890554</v>
      </c>
      <c r="G38" s="11" t="str">
        <f>IF(IFERROR(MATCH(F38,МДМ!$A:$A,0),0)=0,"Не установлено","Установлено")</f>
        <v>Установлено</v>
      </c>
      <c r="H38" s="1" t="s">
        <v>252</v>
      </c>
      <c r="I38" s="1">
        <v>9106765924</v>
      </c>
    </row>
    <row r="39" spans="1:9" ht="15" customHeight="1" x14ac:dyDescent="0.25">
      <c r="A39" s="1">
        <v>38</v>
      </c>
      <c r="B39" s="15" t="s">
        <v>42</v>
      </c>
      <c r="C39" s="8" t="s">
        <v>43</v>
      </c>
      <c r="D39" s="15" t="s">
        <v>54</v>
      </c>
      <c r="E39" s="17" t="s">
        <v>55</v>
      </c>
      <c r="F39" s="16">
        <v>358205080890620</v>
      </c>
      <c r="G39" s="11" t="str">
        <f>IF(IFERROR(MATCH(F39,МДМ!$A:$A,0),0)=0,"Не установлено","Установлено")</f>
        <v>Установлено</v>
      </c>
      <c r="H39" s="1" t="s">
        <v>252</v>
      </c>
      <c r="I39" s="1">
        <v>9106765924</v>
      </c>
    </row>
    <row r="40" spans="1:9" ht="15" customHeight="1" x14ac:dyDescent="0.25">
      <c r="A40" s="1">
        <v>39</v>
      </c>
      <c r="B40" s="15" t="s">
        <v>42</v>
      </c>
      <c r="C40" s="8" t="s">
        <v>43</v>
      </c>
      <c r="D40" s="15" t="s">
        <v>56</v>
      </c>
      <c r="E40" s="17" t="s">
        <v>57</v>
      </c>
      <c r="F40" s="16">
        <v>358205080890885</v>
      </c>
      <c r="G40" s="11" t="str">
        <f>IF(IFERROR(MATCH(F40,МДМ!$A:$A,0),0)=0,"Не установлено","Установлено")</f>
        <v>Не установлено</v>
      </c>
      <c r="H40" s="1" t="s">
        <v>253</v>
      </c>
      <c r="I40" s="1" t="s">
        <v>230</v>
      </c>
    </row>
    <row r="41" spans="1:9" ht="15" customHeight="1" x14ac:dyDescent="0.25">
      <c r="A41" s="1">
        <v>40</v>
      </c>
      <c r="B41" s="15" t="s">
        <v>42</v>
      </c>
      <c r="C41" s="8" t="s">
        <v>43</v>
      </c>
      <c r="D41" s="15" t="s">
        <v>56</v>
      </c>
      <c r="E41" s="17" t="s">
        <v>57</v>
      </c>
      <c r="F41" s="16">
        <v>358205080900106</v>
      </c>
      <c r="G41" s="11" t="str">
        <f>IF(IFERROR(MATCH(F41,МДМ!$A:$A,0),0)=0,"Не установлено","Установлено")</f>
        <v>Не установлено</v>
      </c>
      <c r="H41" s="1" t="s">
        <v>253</v>
      </c>
      <c r="I41" s="1" t="s">
        <v>230</v>
      </c>
    </row>
    <row r="42" spans="1:9" ht="15" customHeight="1" x14ac:dyDescent="0.25">
      <c r="A42" s="1">
        <v>41</v>
      </c>
      <c r="B42" s="15" t="s">
        <v>42</v>
      </c>
      <c r="C42" s="8" t="s">
        <v>43</v>
      </c>
      <c r="D42" s="15" t="s">
        <v>58</v>
      </c>
      <c r="E42" s="17" t="s">
        <v>59</v>
      </c>
      <c r="F42" s="16">
        <v>358205080900049</v>
      </c>
      <c r="G42" s="11" t="str">
        <f>IF(IFERROR(MATCH(F42,МДМ!$A:$A,0),0)=0,"Не установлено","Установлено")</f>
        <v>Не установлено</v>
      </c>
      <c r="H42" s="1" t="s">
        <v>254</v>
      </c>
      <c r="I42" s="1">
        <v>9106765300</v>
      </c>
    </row>
    <row r="43" spans="1:9" ht="15" customHeight="1" x14ac:dyDescent="0.25">
      <c r="A43" s="1">
        <v>42</v>
      </c>
      <c r="B43" s="15" t="s">
        <v>42</v>
      </c>
      <c r="C43" s="8" t="s">
        <v>43</v>
      </c>
      <c r="D43" s="15" t="s">
        <v>58</v>
      </c>
      <c r="E43" s="17" t="s">
        <v>59</v>
      </c>
      <c r="F43" s="16">
        <v>358205080904843</v>
      </c>
      <c r="G43" s="11" t="str">
        <f>IF(IFERROR(MATCH(F43,МДМ!$A:$A,0),0)=0,"Не установлено","Установлено")</f>
        <v>Не установлено</v>
      </c>
      <c r="H43" s="1" t="s">
        <v>254</v>
      </c>
      <c r="I43" s="1">
        <v>9106765300</v>
      </c>
    </row>
    <row r="44" spans="1:9" ht="15" customHeight="1" x14ac:dyDescent="0.25">
      <c r="A44" s="1">
        <v>43</v>
      </c>
      <c r="B44" s="15" t="s">
        <v>42</v>
      </c>
      <c r="C44" s="8" t="s">
        <v>43</v>
      </c>
      <c r="D44" s="15" t="s">
        <v>58</v>
      </c>
      <c r="E44" s="17" t="s">
        <v>59</v>
      </c>
      <c r="F44" s="16">
        <v>358205080890646</v>
      </c>
      <c r="G44" s="11" t="str">
        <f>IF(IFERROR(MATCH(F44,МДМ!$A:$A,0),0)=0,"Не установлено","Установлено")</f>
        <v>Не установлено</v>
      </c>
      <c r="H44" s="1" t="s">
        <v>254</v>
      </c>
      <c r="I44" s="1">
        <v>9106765300</v>
      </c>
    </row>
    <row r="45" spans="1:9" ht="15" customHeight="1" x14ac:dyDescent="0.25">
      <c r="A45" s="1">
        <v>44</v>
      </c>
      <c r="B45" s="15" t="s">
        <v>42</v>
      </c>
      <c r="C45" s="8" t="s">
        <v>43</v>
      </c>
      <c r="D45" s="15" t="s">
        <v>60</v>
      </c>
      <c r="E45" s="17" t="s">
        <v>61</v>
      </c>
      <c r="F45" s="16">
        <v>358205080903423</v>
      </c>
      <c r="G45" s="11" t="str">
        <f>IF(IFERROR(MATCH(F45,МДМ!$A:$A,0),0)=0,"Не установлено","Установлено")</f>
        <v>Не установлено</v>
      </c>
      <c r="H45" s="1" t="s">
        <v>255</v>
      </c>
      <c r="I45" s="1">
        <v>9308368991</v>
      </c>
    </row>
    <row r="46" spans="1:9" ht="15" customHeight="1" x14ac:dyDescent="0.25">
      <c r="A46" s="1">
        <v>45</v>
      </c>
      <c r="B46" s="15" t="s">
        <v>42</v>
      </c>
      <c r="C46" s="8" t="s">
        <v>43</v>
      </c>
      <c r="D46" s="15" t="s">
        <v>60</v>
      </c>
      <c r="E46" s="17" t="s">
        <v>61</v>
      </c>
      <c r="F46" s="16">
        <v>358205080903449</v>
      </c>
      <c r="G46" s="11" t="str">
        <f>IF(IFERROR(MATCH(F46,МДМ!$A:$A,0),0)=0,"Не установлено","Установлено")</f>
        <v>Не установлено</v>
      </c>
      <c r="H46" s="1" t="s">
        <v>255</v>
      </c>
      <c r="I46" s="1">
        <v>9308368991</v>
      </c>
    </row>
    <row r="47" spans="1:9" ht="15" customHeight="1" x14ac:dyDescent="0.25">
      <c r="A47" s="1">
        <v>46</v>
      </c>
      <c r="B47" s="15" t="s">
        <v>42</v>
      </c>
      <c r="C47" s="8" t="s">
        <v>43</v>
      </c>
      <c r="D47" s="15" t="s">
        <v>60</v>
      </c>
      <c r="E47" s="17" t="s">
        <v>61</v>
      </c>
      <c r="F47" s="16">
        <v>358205080899829</v>
      </c>
      <c r="G47" s="11" t="str">
        <f>IF(IFERROR(MATCH(F47,МДМ!$A:$A,0),0)=0,"Не установлено","Установлено")</f>
        <v>Не установлено</v>
      </c>
      <c r="H47" s="1" t="s">
        <v>255</v>
      </c>
      <c r="I47" s="1">
        <v>9308368991</v>
      </c>
    </row>
    <row r="48" spans="1:9" ht="15" customHeight="1" x14ac:dyDescent="0.25">
      <c r="A48" s="1">
        <v>47</v>
      </c>
      <c r="B48" s="15" t="s">
        <v>42</v>
      </c>
      <c r="C48" s="8" t="s">
        <v>43</v>
      </c>
      <c r="D48" s="15" t="s">
        <v>60</v>
      </c>
      <c r="E48" s="17" t="s">
        <v>61</v>
      </c>
      <c r="F48" s="16">
        <v>358205080899647</v>
      </c>
      <c r="G48" s="11" t="str">
        <f>IF(IFERROR(MATCH(F48,МДМ!$A:$A,0),0)=0,"Не установлено","Установлено")</f>
        <v>Не установлено</v>
      </c>
      <c r="H48" s="1" t="s">
        <v>255</v>
      </c>
      <c r="I48" s="1">
        <v>9308368991</v>
      </c>
    </row>
    <row r="49" spans="1:9" ht="15" customHeight="1" x14ac:dyDescent="0.25">
      <c r="A49" s="1">
        <v>48</v>
      </c>
      <c r="B49" s="15" t="s">
        <v>42</v>
      </c>
      <c r="C49" s="8" t="s">
        <v>43</v>
      </c>
      <c r="D49" s="15" t="s">
        <v>62</v>
      </c>
      <c r="E49" s="17" t="s">
        <v>63</v>
      </c>
      <c r="F49" s="16">
        <v>358205080903563</v>
      </c>
      <c r="G49" s="11" t="str">
        <f>IF(IFERROR(MATCH(F49,МДМ!$A:$A,0),0)=0,"Не установлено","Установлено")</f>
        <v>Не установлено</v>
      </c>
    </row>
    <row r="50" spans="1:9" ht="15" customHeight="1" x14ac:dyDescent="0.25">
      <c r="A50" s="1">
        <v>49</v>
      </c>
      <c r="B50" s="15" t="s">
        <v>42</v>
      </c>
      <c r="C50" s="8" t="s">
        <v>43</v>
      </c>
      <c r="D50" s="15" t="s">
        <v>62</v>
      </c>
      <c r="E50" s="17" t="s">
        <v>63</v>
      </c>
      <c r="F50" s="16">
        <v>358205080890877</v>
      </c>
      <c r="G50" s="11" t="str">
        <f>IF(IFERROR(MATCH(F50,МДМ!$A:$A,0),0)=0,"Не установлено","Установлено")</f>
        <v>Не установлено</v>
      </c>
    </row>
    <row r="51" spans="1:9" ht="15" customHeight="1" x14ac:dyDescent="0.25">
      <c r="A51" s="1">
        <v>50</v>
      </c>
      <c r="B51" s="15" t="s">
        <v>42</v>
      </c>
      <c r="C51" s="8" t="s">
        <v>43</v>
      </c>
      <c r="D51" s="15" t="s">
        <v>62</v>
      </c>
      <c r="E51" s="17" t="s">
        <v>63</v>
      </c>
      <c r="F51" s="16">
        <v>358205080905030</v>
      </c>
      <c r="G51" s="11" t="str">
        <f>IF(IFERROR(MATCH(F51,МДМ!$A:$A,0),0)=0,"Не установлено","Установлено")</f>
        <v>Установлено</v>
      </c>
    </row>
    <row r="52" spans="1:9" ht="15" customHeight="1" x14ac:dyDescent="0.25">
      <c r="A52" s="1">
        <v>51</v>
      </c>
      <c r="B52" s="15" t="s">
        <v>42</v>
      </c>
      <c r="C52" s="8" t="s">
        <v>43</v>
      </c>
      <c r="D52" s="15" t="s">
        <v>62</v>
      </c>
      <c r="E52" s="17" t="s">
        <v>63</v>
      </c>
      <c r="F52" s="16">
        <v>358205080903985</v>
      </c>
      <c r="G52" s="11" t="str">
        <f>IF(IFERROR(MATCH(F52,МДМ!$A:$A,0),0)=0,"Не установлено","Установлено")</f>
        <v>Установлено</v>
      </c>
    </row>
    <row r="53" spans="1:9" ht="15" customHeight="1" x14ac:dyDescent="0.25">
      <c r="A53" s="1">
        <v>52</v>
      </c>
      <c r="B53" s="15" t="s">
        <v>42</v>
      </c>
      <c r="C53" s="8" t="s">
        <v>43</v>
      </c>
      <c r="D53" s="15" t="s">
        <v>62</v>
      </c>
      <c r="E53" s="17" t="s">
        <v>63</v>
      </c>
      <c r="F53" s="16">
        <v>358205080903324</v>
      </c>
      <c r="G53" s="11" t="str">
        <f>IF(IFERROR(MATCH(F53,МДМ!$A:$A,0),0)=0,"Не установлено","Установлено")</f>
        <v>Установлено</v>
      </c>
    </row>
    <row r="54" spans="1:9" ht="15" customHeight="1" x14ac:dyDescent="0.25">
      <c r="A54" s="1">
        <v>53</v>
      </c>
      <c r="B54" s="15" t="s">
        <v>42</v>
      </c>
      <c r="C54" s="8" t="s">
        <v>43</v>
      </c>
      <c r="D54" s="15" t="s">
        <v>62</v>
      </c>
      <c r="E54" s="17" t="s">
        <v>63</v>
      </c>
      <c r="F54" s="16">
        <v>358205080904074</v>
      </c>
      <c r="G54" s="11" t="str">
        <f>IF(IFERROR(MATCH(F54,МДМ!$A:$A,0),0)=0,"Не установлено","Установлено")</f>
        <v>Установлено</v>
      </c>
    </row>
    <row r="55" spans="1:9" ht="15" customHeight="1" x14ac:dyDescent="0.25">
      <c r="A55" s="1">
        <v>54</v>
      </c>
      <c r="B55" s="15" t="s">
        <v>42</v>
      </c>
      <c r="C55" s="8" t="s">
        <v>43</v>
      </c>
      <c r="D55" s="15" t="s">
        <v>62</v>
      </c>
      <c r="E55" s="17" t="s">
        <v>63</v>
      </c>
      <c r="F55" s="16">
        <v>358205080899852</v>
      </c>
      <c r="G55" s="11" t="str">
        <f>IF(IFERROR(MATCH(F55,МДМ!$A:$A,0),0)=0,"Не установлено","Установлено")</f>
        <v>Не установлено</v>
      </c>
    </row>
    <row r="56" spans="1:9" ht="15" customHeight="1" x14ac:dyDescent="0.25">
      <c r="A56" s="1">
        <v>55</v>
      </c>
      <c r="B56" s="15" t="s">
        <v>42</v>
      </c>
      <c r="C56" s="8" t="s">
        <v>43</v>
      </c>
      <c r="D56" s="15" t="s">
        <v>64</v>
      </c>
      <c r="E56" s="17" t="s">
        <v>65</v>
      </c>
      <c r="F56" s="16">
        <v>358205080899472</v>
      </c>
      <c r="G56" s="11" t="str">
        <f>IF(IFERROR(MATCH(F56,МДМ!$A:$A,0),0)=0,"Не установлено","Установлено")</f>
        <v>Не установлено</v>
      </c>
      <c r="H56" s="1" t="s">
        <v>256</v>
      </c>
      <c r="I56" s="1">
        <v>9101803308</v>
      </c>
    </row>
    <row r="57" spans="1:9" ht="15" customHeight="1" x14ac:dyDescent="0.25">
      <c r="A57" s="1">
        <v>56</v>
      </c>
      <c r="B57" s="15" t="s">
        <v>42</v>
      </c>
      <c r="C57" s="8" t="s">
        <v>43</v>
      </c>
      <c r="D57" s="15" t="s">
        <v>64</v>
      </c>
      <c r="E57" s="17" t="s">
        <v>65</v>
      </c>
      <c r="F57" s="16">
        <v>358205080899480</v>
      </c>
      <c r="G57" s="11" t="str">
        <f>IF(IFERROR(MATCH(F57,МДМ!$A:$A,0),0)=0,"Не установлено","Установлено")</f>
        <v>Не установлено</v>
      </c>
      <c r="H57" s="1" t="s">
        <v>256</v>
      </c>
      <c r="I57" s="1">
        <v>9101803308</v>
      </c>
    </row>
    <row r="58" spans="1:9" ht="15" customHeight="1" x14ac:dyDescent="0.25">
      <c r="A58" s="1">
        <v>57</v>
      </c>
      <c r="B58" s="15" t="s">
        <v>42</v>
      </c>
      <c r="C58" s="8" t="s">
        <v>43</v>
      </c>
      <c r="D58" s="15" t="s">
        <v>64</v>
      </c>
      <c r="E58" s="17" t="s">
        <v>65</v>
      </c>
      <c r="F58" s="16">
        <v>358205080899605</v>
      </c>
      <c r="G58" s="11" t="str">
        <f>IF(IFERROR(MATCH(F58,МДМ!$A:$A,0),0)=0,"Не установлено","Установлено")</f>
        <v>Не установлено</v>
      </c>
      <c r="H58" s="1" t="s">
        <v>256</v>
      </c>
      <c r="I58" s="1">
        <v>9101803308</v>
      </c>
    </row>
    <row r="59" spans="1:9" ht="15" customHeight="1" x14ac:dyDescent="0.25">
      <c r="A59" s="1">
        <v>58</v>
      </c>
      <c r="B59" s="15" t="s">
        <v>42</v>
      </c>
      <c r="C59" s="8" t="s">
        <v>43</v>
      </c>
      <c r="D59" s="15" t="s">
        <v>66</v>
      </c>
      <c r="E59" s="17" t="s">
        <v>67</v>
      </c>
      <c r="F59" s="16">
        <v>358205080889986</v>
      </c>
      <c r="G59" s="11" t="str">
        <f>IF(IFERROR(MATCH(F59,МДМ!$A:$A,0),0)=0,"Не установлено","Установлено")</f>
        <v>Установлено</v>
      </c>
      <c r="H59" s="1" t="s">
        <v>257</v>
      </c>
      <c r="I59" s="1">
        <v>9190206126</v>
      </c>
    </row>
    <row r="60" spans="1:9" ht="15" customHeight="1" x14ac:dyDescent="0.25">
      <c r="A60" s="1">
        <v>59</v>
      </c>
      <c r="B60" s="15" t="s">
        <v>42</v>
      </c>
      <c r="C60" s="8" t="s">
        <v>43</v>
      </c>
      <c r="D60" s="15" t="s">
        <v>66</v>
      </c>
      <c r="E60" s="17" t="s">
        <v>67</v>
      </c>
      <c r="F60" s="16">
        <v>358205080889952</v>
      </c>
      <c r="G60" s="11" t="str">
        <f>IF(IFERROR(MATCH(F60,МДМ!$A:$A,0),0)=0,"Не установлено","Установлено")</f>
        <v>Не установлено</v>
      </c>
      <c r="H60" s="1" t="s">
        <v>257</v>
      </c>
      <c r="I60" s="1">
        <v>9190206126</v>
      </c>
    </row>
    <row r="61" spans="1:9" ht="15" customHeight="1" x14ac:dyDescent="0.25">
      <c r="A61" s="1">
        <v>60</v>
      </c>
      <c r="B61" s="15" t="s">
        <v>42</v>
      </c>
      <c r="C61" s="8" t="s">
        <v>43</v>
      </c>
      <c r="D61" s="15" t="s">
        <v>66</v>
      </c>
      <c r="E61" s="17" t="s">
        <v>67</v>
      </c>
      <c r="F61" s="16">
        <v>358205080889846</v>
      </c>
      <c r="G61" s="11" t="str">
        <f>IF(IFERROR(MATCH(F61,МДМ!$A:$A,0),0)=0,"Не установлено","Установлено")</f>
        <v>Не установлено</v>
      </c>
      <c r="H61" s="1" t="s">
        <v>257</v>
      </c>
      <c r="I61" s="1">
        <v>9190206126</v>
      </c>
    </row>
    <row r="62" spans="1:9" ht="15" customHeight="1" x14ac:dyDescent="0.25">
      <c r="A62" s="1">
        <v>61</v>
      </c>
      <c r="B62" s="15" t="s">
        <v>42</v>
      </c>
      <c r="C62" s="8" t="s">
        <v>43</v>
      </c>
      <c r="D62" s="15" t="s">
        <v>66</v>
      </c>
      <c r="E62" s="17" t="s">
        <v>67</v>
      </c>
      <c r="F62" s="16">
        <v>358205080889945</v>
      </c>
      <c r="G62" s="11" t="str">
        <f>IF(IFERROR(MATCH(F62,МДМ!$A:$A,0),0)=0,"Не установлено","Установлено")</f>
        <v>Не установлено</v>
      </c>
      <c r="H62" s="1" t="s">
        <v>257</v>
      </c>
      <c r="I62" s="1">
        <v>9190206126</v>
      </c>
    </row>
    <row r="63" spans="1:9" ht="15" customHeight="1" x14ac:dyDescent="0.25">
      <c r="A63" s="1">
        <v>62</v>
      </c>
      <c r="B63" s="15" t="s">
        <v>42</v>
      </c>
      <c r="C63" s="8" t="s">
        <v>43</v>
      </c>
      <c r="D63" s="15" t="s">
        <v>66</v>
      </c>
      <c r="E63" s="17" t="s">
        <v>67</v>
      </c>
      <c r="F63" s="16">
        <v>358205080889903</v>
      </c>
      <c r="G63" s="11" t="str">
        <f>IF(IFERROR(MATCH(F63,МДМ!$A:$A,0),0)=0,"Не установлено","Установлено")</f>
        <v>Не установлено</v>
      </c>
      <c r="H63" s="1" t="s">
        <v>257</v>
      </c>
      <c r="I63" s="1">
        <v>9190206126</v>
      </c>
    </row>
    <row r="64" spans="1:9" ht="15" customHeight="1" x14ac:dyDescent="0.25">
      <c r="A64" s="1">
        <v>63</v>
      </c>
      <c r="B64" s="15" t="s">
        <v>42</v>
      </c>
      <c r="C64" s="8" t="s">
        <v>43</v>
      </c>
      <c r="D64" s="15" t="s">
        <v>68</v>
      </c>
      <c r="E64" s="17" t="s">
        <v>69</v>
      </c>
      <c r="F64" s="16">
        <v>358205080903613</v>
      </c>
      <c r="G64" s="11" t="str">
        <f>IF(IFERROR(MATCH(F64,МДМ!$A:$A,0),0)=0,"Не установлено","Установлено")</f>
        <v>Не установлено</v>
      </c>
      <c r="H64" s="1" t="s">
        <v>258</v>
      </c>
      <c r="I64" s="1">
        <v>9101803301</v>
      </c>
    </row>
    <row r="65" spans="1:9" ht="15" customHeight="1" x14ac:dyDescent="0.25">
      <c r="A65" s="1">
        <v>64</v>
      </c>
      <c r="B65" s="15" t="s">
        <v>42</v>
      </c>
      <c r="C65" s="8" t="s">
        <v>43</v>
      </c>
      <c r="D65" s="15" t="s">
        <v>68</v>
      </c>
      <c r="E65" s="17" t="s">
        <v>69</v>
      </c>
      <c r="F65" s="16">
        <v>358205080899787</v>
      </c>
      <c r="G65" s="11" t="str">
        <f>IF(IFERROR(MATCH(F65,МДМ!$A:$A,0),0)=0,"Не установлено","Установлено")</f>
        <v>Не установлено</v>
      </c>
      <c r="H65" s="1" t="s">
        <v>258</v>
      </c>
      <c r="I65" s="1">
        <v>9101803301</v>
      </c>
    </row>
    <row r="66" spans="1:9" ht="15" customHeight="1" x14ac:dyDescent="0.25">
      <c r="A66" s="1">
        <v>65</v>
      </c>
      <c r="B66" s="15" t="s">
        <v>42</v>
      </c>
      <c r="C66" s="8" t="s">
        <v>43</v>
      </c>
      <c r="D66" s="15" t="s">
        <v>70</v>
      </c>
      <c r="E66" s="17" t="s">
        <v>71</v>
      </c>
      <c r="F66" s="16">
        <v>358205080898433</v>
      </c>
      <c r="G66" s="11" t="str">
        <f>IF(IFERROR(MATCH(F66,МДМ!$A:$A,0),0)=0,"Не установлено","Установлено")</f>
        <v>Не установлено</v>
      </c>
      <c r="H66" s="1" t="s">
        <v>259</v>
      </c>
      <c r="I66" s="1">
        <v>9157529549</v>
      </c>
    </row>
    <row r="67" spans="1:9" ht="15" customHeight="1" x14ac:dyDescent="0.25">
      <c r="A67" s="1">
        <v>66</v>
      </c>
      <c r="B67" s="15" t="s">
        <v>42</v>
      </c>
      <c r="C67" s="8" t="s">
        <v>43</v>
      </c>
      <c r="D67" s="15" t="s">
        <v>70</v>
      </c>
      <c r="E67" s="17" t="s">
        <v>71</v>
      </c>
      <c r="F67" s="16">
        <v>358205080899563</v>
      </c>
      <c r="G67" s="11" t="str">
        <f>IF(IFERROR(MATCH(F67,МДМ!$A:$A,0),0)=0,"Не установлено","Установлено")</f>
        <v>Не установлено</v>
      </c>
      <c r="H67" s="1" t="s">
        <v>259</v>
      </c>
      <c r="I67" s="1">
        <v>9157529549</v>
      </c>
    </row>
    <row r="68" spans="1:9" ht="15" customHeight="1" x14ac:dyDescent="0.25">
      <c r="A68" s="1">
        <v>67</v>
      </c>
      <c r="B68" s="15" t="s">
        <v>42</v>
      </c>
      <c r="C68" s="8" t="s">
        <v>43</v>
      </c>
      <c r="D68" s="15" t="s">
        <v>70</v>
      </c>
      <c r="E68" s="17" t="s">
        <v>71</v>
      </c>
      <c r="F68" s="16">
        <v>358205080898466</v>
      </c>
      <c r="G68" s="11" t="str">
        <f>IF(IFERROR(MATCH(F68,МДМ!$A:$A,0),0)=0,"Не установлено","Установлено")</f>
        <v>Не установлено</v>
      </c>
      <c r="H68" s="1" t="s">
        <v>259</v>
      </c>
      <c r="I68" s="1">
        <v>9157529549</v>
      </c>
    </row>
    <row r="69" spans="1:9" ht="15" customHeight="1" x14ac:dyDescent="0.25">
      <c r="A69" s="1">
        <v>68</v>
      </c>
      <c r="B69" s="15" t="s">
        <v>42</v>
      </c>
      <c r="C69" s="8" t="s">
        <v>43</v>
      </c>
      <c r="D69" s="15" t="s">
        <v>72</v>
      </c>
      <c r="E69" s="17" t="s">
        <v>73</v>
      </c>
      <c r="F69" s="16">
        <v>358205080899597</v>
      </c>
      <c r="G69" s="11" t="str">
        <f>IF(IFERROR(MATCH(F69,МДМ!$A:$A,0),0)=0,"Не установлено","Установлено")</f>
        <v>Установлено</v>
      </c>
      <c r="H69" s="1" t="s">
        <v>260</v>
      </c>
      <c r="I69" s="1">
        <v>9157608243</v>
      </c>
    </row>
    <row r="70" spans="1:9" ht="15" customHeight="1" x14ac:dyDescent="0.25">
      <c r="A70" s="1">
        <v>69</v>
      </c>
      <c r="B70" s="15" t="s">
        <v>42</v>
      </c>
      <c r="C70" s="8" t="s">
        <v>43</v>
      </c>
      <c r="D70" s="15" t="s">
        <v>72</v>
      </c>
      <c r="E70" s="17" t="s">
        <v>73</v>
      </c>
      <c r="F70" s="16">
        <v>358205080889440</v>
      </c>
      <c r="G70" s="11" t="str">
        <f>IF(IFERROR(MATCH(F70,МДМ!$A:$A,0),0)=0,"Не установлено","Установлено")</f>
        <v>Не установлено</v>
      </c>
      <c r="H70" s="1" t="s">
        <v>260</v>
      </c>
      <c r="I70" s="1">
        <v>9157608243</v>
      </c>
    </row>
    <row r="71" spans="1:9" ht="15" customHeight="1" x14ac:dyDescent="0.25">
      <c r="A71" s="1">
        <v>70</v>
      </c>
      <c r="B71" s="15" t="s">
        <v>42</v>
      </c>
      <c r="C71" s="8" t="s">
        <v>43</v>
      </c>
      <c r="D71" s="15" t="s">
        <v>72</v>
      </c>
      <c r="E71" s="17" t="s">
        <v>73</v>
      </c>
      <c r="F71" s="16">
        <v>358205080899548</v>
      </c>
      <c r="G71" s="11" t="str">
        <f>IF(IFERROR(MATCH(F71,МДМ!$A:$A,0),0)=0,"Не установлено","Установлено")</f>
        <v>Не установлено</v>
      </c>
      <c r="H71" s="1" t="s">
        <v>260</v>
      </c>
      <c r="I71" s="1">
        <v>9157608243</v>
      </c>
    </row>
    <row r="72" spans="1:9" ht="15" customHeight="1" x14ac:dyDescent="0.25">
      <c r="A72" s="1">
        <v>71</v>
      </c>
      <c r="B72" s="15" t="s">
        <v>42</v>
      </c>
      <c r="C72" s="8" t="s">
        <v>43</v>
      </c>
      <c r="D72" s="15" t="s">
        <v>72</v>
      </c>
      <c r="E72" s="17" t="s">
        <v>73</v>
      </c>
      <c r="F72" s="16">
        <v>358205080889457</v>
      </c>
      <c r="G72" s="11" t="str">
        <f>IF(IFERROR(MATCH(F72,МДМ!$A:$A,0),0)=0,"Не установлено","Установлено")</f>
        <v>Не установлено</v>
      </c>
      <c r="H72" s="1" t="s">
        <v>260</v>
      </c>
      <c r="I72" s="1">
        <v>9157608243</v>
      </c>
    </row>
    <row r="73" spans="1:9" ht="15" customHeight="1" x14ac:dyDescent="0.25">
      <c r="A73" s="1">
        <v>72</v>
      </c>
      <c r="B73" s="15" t="s">
        <v>42</v>
      </c>
      <c r="C73" s="8" t="s">
        <v>43</v>
      </c>
      <c r="D73" s="15" t="s">
        <v>74</v>
      </c>
      <c r="E73" s="17" t="s">
        <v>75</v>
      </c>
      <c r="F73" s="16">
        <v>358205080903720</v>
      </c>
      <c r="G73" s="11" t="str">
        <f>IF(IFERROR(MATCH(F73,МДМ!$A:$A,0),0)=0,"Не установлено","Установлено")</f>
        <v>Не установлено</v>
      </c>
      <c r="H73" s="1" t="s">
        <v>261</v>
      </c>
      <c r="I73" s="1">
        <v>9106765189</v>
      </c>
    </row>
    <row r="74" spans="1:9" ht="15" customHeight="1" x14ac:dyDescent="0.25">
      <c r="A74" s="1">
        <v>73</v>
      </c>
      <c r="B74" s="15" t="s">
        <v>42</v>
      </c>
      <c r="C74" s="8" t="s">
        <v>43</v>
      </c>
      <c r="D74" s="15" t="s">
        <v>74</v>
      </c>
      <c r="E74" s="17" t="s">
        <v>75</v>
      </c>
      <c r="F74" s="16">
        <v>358205080903373</v>
      </c>
      <c r="G74" s="11" t="str">
        <f>IF(IFERROR(MATCH(F74,МДМ!$A:$A,0),0)=0,"Не установлено","Установлено")</f>
        <v>Не установлено</v>
      </c>
      <c r="H74" s="1" t="s">
        <v>261</v>
      </c>
      <c r="I74" s="1">
        <v>9106765189</v>
      </c>
    </row>
    <row r="75" spans="1:9" ht="15" customHeight="1" x14ac:dyDescent="0.25">
      <c r="A75" s="1">
        <v>74</v>
      </c>
      <c r="B75" s="7" t="s">
        <v>9</v>
      </c>
      <c r="C75" s="8" t="s">
        <v>76</v>
      </c>
      <c r="D75" s="7" t="s">
        <v>77</v>
      </c>
      <c r="E75" s="17" t="s">
        <v>78</v>
      </c>
      <c r="F75" s="12">
        <v>358205080908414</v>
      </c>
      <c r="G75" s="11" t="str">
        <f>IF(IFERROR(MATCH(F75,МДМ!$A:$A,0),0)=0,"Не установлено","Установлено")</f>
        <v>Установлено</v>
      </c>
      <c r="H75" s="1" t="s">
        <v>262</v>
      </c>
      <c r="I75" s="1">
        <v>9155468025</v>
      </c>
    </row>
    <row r="76" spans="1:9" ht="15" customHeight="1" x14ac:dyDescent="0.25">
      <c r="A76" s="1">
        <v>75</v>
      </c>
      <c r="B76" s="7" t="s">
        <v>9</v>
      </c>
      <c r="C76" s="8" t="s">
        <v>76</v>
      </c>
      <c r="D76" s="7" t="s">
        <v>77</v>
      </c>
      <c r="E76" s="17" t="s">
        <v>78</v>
      </c>
      <c r="F76" s="12">
        <v>358205080908406</v>
      </c>
      <c r="G76" s="11" t="str">
        <f>IF(IFERROR(MATCH(F76,МДМ!$A:$A,0),0)=0,"Не установлено","Установлено")</f>
        <v>Установлено</v>
      </c>
      <c r="H76" s="1" t="s">
        <v>262</v>
      </c>
      <c r="I76" s="1">
        <v>9155468025</v>
      </c>
    </row>
    <row r="77" spans="1:9" ht="15" customHeight="1" x14ac:dyDescent="0.25">
      <c r="A77" s="1">
        <v>76</v>
      </c>
      <c r="B77" s="7" t="s">
        <v>9</v>
      </c>
      <c r="C77" s="8" t="s">
        <v>76</v>
      </c>
      <c r="D77" s="7" t="s">
        <v>79</v>
      </c>
      <c r="E77" s="17" t="s">
        <v>80</v>
      </c>
      <c r="F77" s="12">
        <v>358205080908349</v>
      </c>
      <c r="G77" s="11" t="str">
        <f>IF(IFERROR(MATCH(F77,МДМ!$A:$A,0),0)=0,"Не установлено","Установлено")</f>
        <v>Установлено</v>
      </c>
      <c r="H77" s="1" t="s">
        <v>263</v>
      </c>
      <c r="I77" s="1">
        <v>9155416551</v>
      </c>
    </row>
    <row r="78" spans="1:9" ht="15" customHeight="1" x14ac:dyDescent="0.25">
      <c r="A78" s="1">
        <v>77</v>
      </c>
      <c r="B78" s="7" t="s">
        <v>9</v>
      </c>
      <c r="C78" s="8" t="s">
        <v>76</v>
      </c>
      <c r="D78" s="7" t="s">
        <v>79</v>
      </c>
      <c r="E78" s="17" t="s">
        <v>80</v>
      </c>
      <c r="F78" s="12">
        <v>358205080908364</v>
      </c>
      <c r="G78" s="11" t="str">
        <f>IF(IFERROR(MATCH(F78,МДМ!$A:$A,0),0)=0,"Не установлено","Установлено")</f>
        <v>Установлено</v>
      </c>
      <c r="H78" s="1" t="s">
        <v>263</v>
      </c>
      <c r="I78" s="1">
        <v>9155416551</v>
      </c>
    </row>
    <row r="79" spans="1:9" ht="15" customHeight="1" x14ac:dyDescent="0.25">
      <c r="A79" s="1">
        <v>78</v>
      </c>
      <c r="B79" s="7" t="s">
        <v>9</v>
      </c>
      <c r="C79" s="8" t="s">
        <v>76</v>
      </c>
      <c r="D79" s="7" t="s">
        <v>81</v>
      </c>
      <c r="E79" s="17" t="s">
        <v>82</v>
      </c>
      <c r="F79" s="12">
        <v>358205080889408</v>
      </c>
      <c r="G79" s="11" t="str">
        <f>IF(IFERROR(MATCH(F79,МДМ!$A:$A,0),0)=0,"Не установлено","Установлено")</f>
        <v>Установлено</v>
      </c>
      <c r="H79" s="1" t="s">
        <v>264</v>
      </c>
      <c r="I79" s="1">
        <v>9803417879</v>
      </c>
    </row>
    <row r="80" spans="1:9" ht="15" customHeight="1" x14ac:dyDescent="0.25">
      <c r="A80" s="1">
        <v>79</v>
      </c>
      <c r="B80" s="7" t="s">
        <v>9</v>
      </c>
      <c r="C80" s="8" t="s">
        <v>76</v>
      </c>
      <c r="D80" s="7" t="s">
        <v>81</v>
      </c>
      <c r="E80" s="17" t="s">
        <v>82</v>
      </c>
      <c r="F80" s="12">
        <v>358205080889416</v>
      </c>
      <c r="G80" s="11" t="str">
        <f>IF(IFERROR(MATCH(F80,МДМ!$A:$A,0),0)=0,"Не установлено","Установлено")</f>
        <v>Установлено</v>
      </c>
      <c r="H80" s="1" t="s">
        <v>264</v>
      </c>
      <c r="I80" s="1">
        <v>9803417879</v>
      </c>
    </row>
    <row r="81" spans="1:9" ht="15" customHeight="1" x14ac:dyDescent="0.25">
      <c r="A81" s="1">
        <v>80</v>
      </c>
      <c r="B81" s="7" t="s">
        <v>9</v>
      </c>
      <c r="C81" s="8" t="s">
        <v>76</v>
      </c>
      <c r="D81" s="7" t="s">
        <v>83</v>
      </c>
      <c r="E81" s="17" t="s">
        <v>84</v>
      </c>
      <c r="F81" s="12">
        <v>358205080902102</v>
      </c>
      <c r="G81" s="11" t="str">
        <f>IF(IFERROR(MATCH(F81,МДМ!$A:$A,0),0)=0,"Не установлено","Установлено")</f>
        <v>Установлено</v>
      </c>
      <c r="H81" s="1" t="s">
        <v>265</v>
      </c>
      <c r="I81" s="1">
        <v>9803436965</v>
      </c>
    </row>
    <row r="82" spans="1:9" ht="15" customHeight="1" x14ac:dyDescent="0.25">
      <c r="A82" s="1">
        <v>81</v>
      </c>
      <c r="B82" s="7" t="s">
        <v>9</v>
      </c>
      <c r="C82" s="8" t="s">
        <v>76</v>
      </c>
      <c r="D82" s="7" t="s">
        <v>83</v>
      </c>
      <c r="E82" s="17" t="s">
        <v>84</v>
      </c>
      <c r="F82" s="12">
        <v>358205080883948</v>
      </c>
      <c r="G82" s="11" t="str">
        <f>IF(IFERROR(MATCH(F82,МДМ!$A:$A,0),0)=0,"Не установлено","Установлено")</f>
        <v>Установлено</v>
      </c>
      <c r="H82" s="1" t="s">
        <v>265</v>
      </c>
      <c r="I82" s="1">
        <v>9803436965</v>
      </c>
    </row>
    <row r="83" spans="1:9" ht="15.75" customHeight="1" x14ac:dyDescent="0.25">
      <c r="A83" s="1">
        <v>82</v>
      </c>
      <c r="B83" s="7" t="s">
        <v>9</v>
      </c>
      <c r="C83" s="13" t="s">
        <v>76</v>
      </c>
      <c r="D83" s="14" t="s">
        <v>85</v>
      </c>
      <c r="E83" s="17" t="s">
        <v>86</v>
      </c>
      <c r="F83" s="12">
        <v>358205080908307</v>
      </c>
      <c r="G83" s="11" t="str">
        <f>IF(IFERROR(MATCH(F83,МДМ!$A:$A,0),0)=0,"Не установлено","Установлено")</f>
        <v>Установлено</v>
      </c>
      <c r="H83" s="1" t="s">
        <v>266</v>
      </c>
      <c r="I83" s="1">
        <v>9802400726</v>
      </c>
    </row>
    <row r="84" spans="1:9" ht="15.75" customHeight="1" x14ac:dyDescent="0.25">
      <c r="A84" s="1">
        <v>83</v>
      </c>
      <c r="B84" s="7" t="s">
        <v>9</v>
      </c>
      <c r="C84" s="13" t="s">
        <v>76</v>
      </c>
      <c r="D84" s="14" t="s">
        <v>85</v>
      </c>
      <c r="E84" s="17" t="s">
        <v>86</v>
      </c>
      <c r="F84" s="12">
        <v>358205080898045</v>
      </c>
      <c r="G84" s="11" t="str">
        <f>IF(IFERROR(MATCH(F84,МДМ!$A:$A,0),0)=0,"Не установлено","Установлено")</f>
        <v>Не установлено</v>
      </c>
      <c r="H84" s="1" t="s">
        <v>266</v>
      </c>
      <c r="I84" s="1">
        <v>9802400726</v>
      </c>
    </row>
    <row r="85" spans="1:9" ht="15" customHeight="1" x14ac:dyDescent="0.25">
      <c r="A85" s="1">
        <v>84</v>
      </c>
      <c r="B85" s="7" t="s">
        <v>42</v>
      </c>
      <c r="C85" s="8" t="s">
        <v>87</v>
      </c>
      <c r="D85" s="7" t="s">
        <v>88</v>
      </c>
      <c r="E85" s="17">
        <v>9106904321</v>
      </c>
      <c r="F85" s="10">
        <v>358205082875090</v>
      </c>
      <c r="G85" s="11" t="str">
        <f>IF(IFERROR(MATCH(F85,МДМ!$A:$A,0),0)=0,"Не установлено","Установлено")</f>
        <v>Установлено</v>
      </c>
      <c r="H85" s="1" t="s">
        <v>267</v>
      </c>
      <c r="I85" s="1">
        <v>9106970494</v>
      </c>
    </row>
    <row r="86" spans="1:9" ht="15" customHeight="1" x14ac:dyDescent="0.25">
      <c r="A86" s="1">
        <v>85</v>
      </c>
      <c r="B86" s="7" t="s">
        <v>42</v>
      </c>
      <c r="C86" s="8" t="s">
        <v>89</v>
      </c>
      <c r="D86" s="7" t="s">
        <v>90</v>
      </c>
      <c r="E86" s="17" t="s">
        <v>91</v>
      </c>
      <c r="F86" s="10">
        <v>358205080899415</v>
      </c>
      <c r="G86" s="11" t="str">
        <f>IF(IFERROR(MATCH(F86,МДМ!$A:$A,0),0)=0,"Не установлено","Установлено")</f>
        <v>Не установлено</v>
      </c>
      <c r="H86" s="1" t="s">
        <v>268</v>
      </c>
      <c r="I86" s="1" t="s">
        <v>228</v>
      </c>
    </row>
    <row r="87" spans="1:9" ht="15" customHeight="1" x14ac:dyDescent="0.25">
      <c r="A87" s="1">
        <v>86</v>
      </c>
      <c r="B87" s="7" t="s">
        <v>42</v>
      </c>
      <c r="C87" s="8" t="s">
        <v>89</v>
      </c>
      <c r="D87" s="7" t="s">
        <v>90</v>
      </c>
      <c r="E87" s="17" t="s">
        <v>91</v>
      </c>
      <c r="F87" s="10">
        <v>358205080902326</v>
      </c>
      <c r="G87" s="11" t="str">
        <f>IF(IFERROR(MATCH(F87,МДМ!$A:$A,0),0)=0,"Не установлено","Установлено")</f>
        <v>Не установлено</v>
      </c>
      <c r="H87" s="1" t="s">
        <v>268</v>
      </c>
      <c r="I87" s="1" t="s">
        <v>228</v>
      </c>
    </row>
    <row r="88" spans="1:9" ht="15" customHeight="1" x14ac:dyDescent="0.25">
      <c r="A88" s="1">
        <v>87</v>
      </c>
      <c r="B88" s="7" t="s">
        <v>42</v>
      </c>
      <c r="C88" s="8" t="s">
        <v>89</v>
      </c>
      <c r="D88" s="7" t="s">
        <v>90</v>
      </c>
      <c r="E88" s="17" t="s">
        <v>91</v>
      </c>
      <c r="F88" s="10">
        <v>358205080909289</v>
      </c>
      <c r="G88" s="11" t="str">
        <f>IF(IFERROR(MATCH(F88,МДМ!$A:$A,0),0)=0,"Не установлено","Установлено")</f>
        <v>Не установлено</v>
      </c>
      <c r="H88" s="1" t="s">
        <v>268</v>
      </c>
      <c r="I88" s="1" t="s">
        <v>228</v>
      </c>
    </row>
    <row r="89" spans="1:9" ht="15" customHeight="1" x14ac:dyDescent="0.25">
      <c r="A89" s="1">
        <v>88</v>
      </c>
      <c r="B89" s="7" t="s">
        <v>42</v>
      </c>
      <c r="C89" s="8" t="s">
        <v>89</v>
      </c>
      <c r="D89" s="7" t="s">
        <v>90</v>
      </c>
      <c r="E89" s="17" t="s">
        <v>91</v>
      </c>
      <c r="F89" s="10">
        <v>358205080898946</v>
      </c>
      <c r="G89" s="11" t="str">
        <f>IF(IFERROR(MATCH(F89,МДМ!$A:$A,0),0)=0,"Не установлено","Установлено")</f>
        <v>Не установлено</v>
      </c>
      <c r="H89" s="1" t="s">
        <v>268</v>
      </c>
      <c r="I89" s="1" t="s">
        <v>228</v>
      </c>
    </row>
    <row r="90" spans="1:9" ht="15" customHeight="1" x14ac:dyDescent="0.25">
      <c r="A90" s="1">
        <v>89</v>
      </c>
      <c r="B90" s="7" t="s">
        <v>42</v>
      </c>
      <c r="C90" s="8" t="s">
        <v>89</v>
      </c>
      <c r="D90" s="7" t="s">
        <v>90</v>
      </c>
      <c r="E90" s="17" t="s">
        <v>91</v>
      </c>
      <c r="F90" s="10">
        <v>358205080898896</v>
      </c>
      <c r="G90" s="11" t="str">
        <f>IF(IFERROR(MATCH(F90,МДМ!$A:$A,0),0)=0,"Не установлено","Установлено")</f>
        <v>Не установлено</v>
      </c>
      <c r="H90" s="1" t="s">
        <v>268</v>
      </c>
      <c r="I90" s="1" t="s">
        <v>228</v>
      </c>
    </row>
    <row r="91" spans="1:9" ht="15" customHeight="1" x14ac:dyDescent="0.25">
      <c r="A91" s="1">
        <v>90</v>
      </c>
      <c r="B91" s="7" t="s">
        <v>42</v>
      </c>
      <c r="C91" s="8" t="s">
        <v>89</v>
      </c>
      <c r="D91" s="7" t="s">
        <v>92</v>
      </c>
      <c r="E91" s="17" t="s">
        <v>93</v>
      </c>
      <c r="F91" s="10">
        <v>358205080902086</v>
      </c>
      <c r="G91" s="11" t="str">
        <f>IF(IFERROR(MATCH(F91,МДМ!$A:$A,0),0)=0,"Не установлено","Установлено")</f>
        <v>Установлено</v>
      </c>
      <c r="H91" s="1" t="s">
        <v>269</v>
      </c>
      <c r="I91" s="1">
        <v>9105204508</v>
      </c>
    </row>
    <row r="92" spans="1:9" ht="15" customHeight="1" x14ac:dyDescent="0.25">
      <c r="A92" s="1">
        <v>91</v>
      </c>
      <c r="B92" s="7" t="s">
        <v>42</v>
      </c>
      <c r="C92" s="8" t="s">
        <v>89</v>
      </c>
      <c r="D92" s="7" t="s">
        <v>92</v>
      </c>
      <c r="E92" s="17" t="s">
        <v>93</v>
      </c>
      <c r="F92" s="10">
        <v>358205080898748</v>
      </c>
      <c r="G92" s="11" t="str">
        <f>IF(IFERROR(MATCH(F92,МДМ!$A:$A,0),0)=0,"Не установлено","Установлено")</f>
        <v>Не установлено</v>
      </c>
      <c r="H92" s="1" t="s">
        <v>269</v>
      </c>
      <c r="I92" s="1">
        <v>9105204508</v>
      </c>
    </row>
    <row r="93" spans="1:9" ht="15" customHeight="1" x14ac:dyDescent="0.25">
      <c r="A93" s="1">
        <v>92</v>
      </c>
      <c r="B93" s="7" t="s">
        <v>42</v>
      </c>
      <c r="C93" s="8" t="s">
        <v>89</v>
      </c>
      <c r="D93" s="7" t="s">
        <v>92</v>
      </c>
      <c r="E93" s="17" t="s">
        <v>93</v>
      </c>
      <c r="F93" s="10">
        <v>358205080898789</v>
      </c>
      <c r="G93" s="11" t="str">
        <f>IF(IFERROR(MATCH(F93,МДМ!$A:$A,0),0)=0,"Не установлено","Установлено")</f>
        <v>Установлено</v>
      </c>
      <c r="H93" s="1" t="s">
        <v>269</v>
      </c>
      <c r="I93" s="1">
        <v>9105204508</v>
      </c>
    </row>
    <row r="94" spans="1:9" ht="15" customHeight="1" x14ac:dyDescent="0.25">
      <c r="A94" s="1">
        <v>93</v>
      </c>
      <c r="B94" s="7" t="s">
        <v>42</v>
      </c>
      <c r="C94" s="8" t="s">
        <v>89</v>
      </c>
      <c r="D94" s="7" t="s">
        <v>92</v>
      </c>
      <c r="E94" s="17" t="s">
        <v>93</v>
      </c>
      <c r="F94" s="10">
        <v>358205080890018</v>
      </c>
      <c r="G94" s="11" t="str">
        <f>IF(IFERROR(MATCH(F94,МДМ!$A:$A,0),0)=0,"Не установлено","Установлено")</f>
        <v>Установлено</v>
      </c>
      <c r="H94" s="1" t="s">
        <v>269</v>
      </c>
      <c r="I94" s="1">
        <v>9105204508</v>
      </c>
    </row>
    <row r="95" spans="1:9" ht="15" customHeight="1" x14ac:dyDescent="0.25">
      <c r="A95" s="1">
        <v>94</v>
      </c>
      <c r="B95" s="7" t="s">
        <v>42</v>
      </c>
      <c r="C95" s="8" t="s">
        <v>89</v>
      </c>
      <c r="D95" s="7" t="s">
        <v>92</v>
      </c>
      <c r="E95" s="17" t="s">
        <v>93</v>
      </c>
      <c r="F95" s="10">
        <v>358205080903399</v>
      </c>
      <c r="G95" s="11" t="str">
        <f>IF(IFERROR(MATCH(F95,МДМ!$A:$A,0),0)=0,"Не установлено","Установлено")</f>
        <v>Установлено</v>
      </c>
      <c r="H95" s="1" t="s">
        <v>269</v>
      </c>
      <c r="I95" s="1">
        <v>9105204508</v>
      </c>
    </row>
    <row r="96" spans="1:9" ht="15" customHeight="1" x14ac:dyDescent="0.25">
      <c r="A96" s="1">
        <v>95</v>
      </c>
      <c r="B96" s="7" t="s">
        <v>42</v>
      </c>
      <c r="C96" s="8" t="s">
        <v>89</v>
      </c>
      <c r="D96" s="7" t="s">
        <v>94</v>
      </c>
      <c r="E96" s="17" t="s">
        <v>95</v>
      </c>
      <c r="F96" s="10">
        <v>358205080889135</v>
      </c>
      <c r="G96" s="11" t="str">
        <f>IF(IFERROR(MATCH(F96,МДМ!$A:$A,0),0)=0,"Не установлено","Установлено")</f>
        <v>Не установлено</v>
      </c>
      <c r="H96" s="1" t="s">
        <v>270</v>
      </c>
      <c r="I96" s="1">
        <v>9106083286</v>
      </c>
    </row>
    <row r="97" spans="1:9" ht="15" customHeight="1" x14ac:dyDescent="0.25">
      <c r="A97" s="1">
        <v>96</v>
      </c>
      <c r="B97" s="7" t="s">
        <v>42</v>
      </c>
      <c r="C97" s="8" t="s">
        <v>89</v>
      </c>
      <c r="D97" s="7" t="s">
        <v>94</v>
      </c>
      <c r="E97" s="17" t="s">
        <v>95</v>
      </c>
      <c r="F97" s="10">
        <v>358205080889069</v>
      </c>
      <c r="G97" s="11" t="str">
        <f>IF(IFERROR(MATCH(F97,МДМ!$A:$A,0),0)=0,"Не установлено","Установлено")</f>
        <v>Не установлено</v>
      </c>
      <c r="H97" s="1" t="s">
        <v>270</v>
      </c>
      <c r="I97" s="1">
        <v>9106083286</v>
      </c>
    </row>
    <row r="98" spans="1:9" ht="15" customHeight="1" x14ac:dyDescent="0.25">
      <c r="A98" s="1">
        <v>97</v>
      </c>
      <c r="B98" s="7" t="s">
        <v>42</v>
      </c>
      <c r="C98" s="8" t="s">
        <v>89</v>
      </c>
      <c r="D98" s="7" t="s">
        <v>94</v>
      </c>
      <c r="E98" s="17" t="s">
        <v>95</v>
      </c>
      <c r="F98" s="10">
        <v>358205080889176</v>
      </c>
      <c r="G98" s="11" t="str">
        <f>IF(IFERROR(MATCH(F98,МДМ!$A:$A,0),0)=0,"Не установлено","Установлено")</f>
        <v>Не установлено</v>
      </c>
      <c r="H98" s="1" t="s">
        <v>270</v>
      </c>
      <c r="I98" s="1">
        <v>9106083286</v>
      </c>
    </row>
    <row r="99" spans="1:9" ht="15" customHeight="1" x14ac:dyDescent="0.25">
      <c r="A99" s="1">
        <v>98</v>
      </c>
      <c r="B99" s="7" t="s">
        <v>42</v>
      </c>
      <c r="C99" s="8" t="s">
        <v>89</v>
      </c>
      <c r="D99" s="7" t="s">
        <v>94</v>
      </c>
      <c r="E99" s="17" t="s">
        <v>95</v>
      </c>
      <c r="F99" s="10">
        <v>358205080889184</v>
      </c>
      <c r="G99" s="11" t="str">
        <f>IF(IFERROR(MATCH(F99,МДМ!$A:$A,0),0)=0,"Не установлено","Установлено")</f>
        <v>Не установлено</v>
      </c>
      <c r="H99" s="1" t="s">
        <v>270</v>
      </c>
      <c r="I99" s="1">
        <v>9106083286</v>
      </c>
    </row>
    <row r="100" spans="1:9" ht="15" customHeight="1" x14ac:dyDescent="0.25">
      <c r="A100" s="1">
        <v>99</v>
      </c>
      <c r="B100" s="7" t="s">
        <v>42</v>
      </c>
      <c r="C100" s="8" t="s">
        <v>89</v>
      </c>
      <c r="D100" s="7" t="s">
        <v>94</v>
      </c>
      <c r="E100" s="17" t="s">
        <v>95</v>
      </c>
      <c r="F100" s="10">
        <v>358205080889093</v>
      </c>
      <c r="G100" s="11" t="str">
        <f>IF(IFERROR(MATCH(F100,МДМ!$A:$A,0),0)=0,"Не установлено","Установлено")</f>
        <v>Не установлено</v>
      </c>
      <c r="H100" s="1" t="s">
        <v>270</v>
      </c>
      <c r="I100" s="1">
        <v>9106083286</v>
      </c>
    </row>
    <row r="101" spans="1:9" ht="15" customHeight="1" x14ac:dyDescent="0.25">
      <c r="A101" s="1">
        <v>100</v>
      </c>
      <c r="B101" s="7" t="s">
        <v>42</v>
      </c>
      <c r="C101" s="8" t="s">
        <v>89</v>
      </c>
      <c r="D101" s="7" t="s">
        <v>94</v>
      </c>
      <c r="E101" s="17" t="s">
        <v>95</v>
      </c>
      <c r="F101" s="10">
        <v>358205080889671</v>
      </c>
      <c r="G101" s="11" t="str">
        <f>IF(IFERROR(MATCH(F101,МДМ!$A:$A,0),0)=0,"Не установлено","Установлено")</f>
        <v>Не установлено</v>
      </c>
      <c r="H101" s="1" t="s">
        <v>270</v>
      </c>
      <c r="I101" s="1">
        <v>9106083286</v>
      </c>
    </row>
    <row r="102" spans="1:9" ht="15" customHeight="1" x14ac:dyDescent="0.25">
      <c r="A102" s="1">
        <v>101</v>
      </c>
      <c r="B102" s="7" t="s">
        <v>42</v>
      </c>
      <c r="C102" s="8" t="s">
        <v>89</v>
      </c>
      <c r="D102" s="7" t="s">
        <v>96</v>
      </c>
      <c r="E102" s="17" t="s">
        <v>97</v>
      </c>
      <c r="F102" s="10">
        <v>358205080908786</v>
      </c>
      <c r="G102" s="11" t="str">
        <f>IF(IFERROR(MATCH(F102,МДМ!$A:$A,0),0)=0,"Не установлено","Установлено")</f>
        <v>Установлено</v>
      </c>
      <c r="H102" s="1" t="s">
        <v>271</v>
      </c>
      <c r="I102" s="1">
        <v>9805103353</v>
      </c>
    </row>
    <row r="103" spans="1:9" ht="15" customHeight="1" x14ac:dyDescent="0.25">
      <c r="A103" s="1">
        <v>102</v>
      </c>
      <c r="B103" s="7" t="s">
        <v>42</v>
      </c>
      <c r="C103" s="8" t="s">
        <v>89</v>
      </c>
      <c r="D103" s="7" t="s">
        <v>96</v>
      </c>
      <c r="E103" s="17" t="s">
        <v>97</v>
      </c>
      <c r="F103" s="10">
        <v>358205080898227</v>
      </c>
      <c r="G103" s="11" t="str">
        <f>IF(IFERROR(MATCH(F103,МДМ!$A:$A,0),0)=0,"Не установлено","Установлено")</f>
        <v>Не установлено</v>
      </c>
      <c r="H103" s="1" t="s">
        <v>271</v>
      </c>
      <c r="I103" s="1">
        <v>9805103353</v>
      </c>
    </row>
    <row r="104" spans="1:9" ht="15" customHeight="1" x14ac:dyDescent="0.25">
      <c r="A104" s="1">
        <v>103</v>
      </c>
      <c r="B104" s="7" t="s">
        <v>42</v>
      </c>
      <c r="C104" s="8" t="s">
        <v>89</v>
      </c>
      <c r="D104" s="7" t="s">
        <v>96</v>
      </c>
      <c r="E104" s="17" t="s">
        <v>97</v>
      </c>
      <c r="F104" s="10">
        <v>358205080898888</v>
      </c>
      <c r="G104" s="11" t="str">
        <f>IF(IFERROR(MATCH(F104,МДМ!$A:$A,0),0)=0,"Не установлено","Установлено")</f>
        <v>Не установлено</v>
      </c>
      <c r="H104" s="1" t="s">
        <v>271</v>
      </c>
      <c r="I104" s="1">
        <v>9805103353</v>
      </c>
    </row>
    <row r="105" spans="1:9" ht="15" customHeight="1" x14ac:dyDescent="0.25">
      <c r="A105" s="1">
        <v>104</v>
      </c>
      <c r="B105" s="7" t="s">
        <v>42</v>
      </c>
      <c r="C105" s="8" t="s">
        <v>89</v>
      </c>
      <c r="D105" s="7" t="s">
        <v>96</v>
      </c>
      <c r="E105" s="17" t="s">
        <v>97</v>
      </c>
      <c r="F105" s="10">
        <v>358205080889150</v>
      </c>
      <c r="G105" s="11" t="str">
        <f>IF(IFERROR(MATCH(F105,МДМ!$A:$A,0),0)=0,"Не установлено","Установлено")</f>
        <v>Не установлено</v>
      </c>
      <c r="H105" s="1" t="s">
        <v>271</v>
      </c>
      <c r="I105" s="1">
        <v>9805103353</v>
      </c>
    </row>
    <row r="106" spans="1:9" ht="15" customHeight="1" x14ac:dyDescent="0.25">
      <c r="A106" s="1">
        <v>105</v>
      </c>
      <c r="B106" s="7" t="s">
        <v>42</v>
      </c>
      <c r="C106" s="13" t="s">
        <v>89</v>
      </c>
      <c r="D106" s="14" t="s">
        <v>98</v>
      </c>
      <c r="E106" s="17" t="s">
        <v>99</v>
      </c>
      <c r="F106" s="10">
        <v>358205080898441</v>
      </c>
      <c r="G106" s="11" t="str">
        <f>IF(IFERROR(MATCH(F106,МДМ!$A:$A,0),0)=0,"Не установлено","Установлено")</f>
        <v>Установлено</v>
      </c>
      <c r="H106" s="1" t="s">
        <v>272</v>
      </c>
      <c r="I106" s="1">
        <v>9805101748</v>
      </c>
    </row>
    <row r="107" spans="1:9" ht="15" customHeight="1" x14ac:dyDescent="0.25">
      <c r="A107" s="1">
        <v>106</v>
      </c>
      <c r="B107" s="7" t="s">
        <v>42</v>
      </c>
      <c r="C107" s="13" t="s">
        <v>89</v>
      </c>
      <c r="D107" s="14" t="s">
        <v>98</v>
      </c>
      <c r="E107" s="17" t="s">
        <v>99</v>
      </c>
      <c r="F107" s="10">
        <v>358205080889358</v>
      </c>
      <c r="G107" s="11" t="str">
        <f>IF(IFERROR(MATCH(F107,МДМ!$A:$A,0),0)=0,"Не установлено","Установлено")</f>
        <v>Не установлено</v>
      </c>
      <c r="H107" s="1" t="s">
        <v>272</v>
      </c>
      <c r="I107" s="1">
        <v>9805101748</v>
      </c>
    </row>
    <row r="108" spans="1:9" ht="15" customHeight="1" x14ac:dyDescent="0.25">
      <c r="A108" s="1">
        <v>107</v>
      </c>
      <c r="B108" s="7" t="s">
        <v>42</v>
      </c>
      <c r="C108" s="13" t="s">
        <v>89</v>
      </c>
      <c r="D108" s="14" t="s">
        <v>98</v>
      </c>
      <c r="E108" s="17" t="s">
        <v>99</v>
      </c>
      <c r="F108" s="10">
        <v>358205080909214</v>
      </c>
      <c r="G108" s="11" t="str">
        <f>IF(IFERROR(MATCH(F108,МДМ!$A:$A,0),0)=0,"Не установлено","Установлено")</f>
        <v>Установлено</v>
      </c>
      <c r="H108" s="1" t="s">
        <v>272</v>
      </c>
      <c r="I108" s="1">
        <v>9805101748</v>
      </c>
    </row>
    <row r="109" spans="1:9" ht="15" customHeight="1" x14ac:dyDescent="0.25">
      <c r="A109" s="1">
        <v>108</v>
      </c>
      <c r="B109" s="7" t="s">
        <v>42</v>
      </c>
      <c r="C109" s="13" t="s">
        <v>89</v>
      </c>
      <c r="D109" s="14" t="s">
        <v>98</v>
      </c>
      <c r="E109" s="17" t="s">
        <v>99</v>
      </c>
      <c r="F109" s="10">
        <v>358205080889143</v>
      </c>
      <c r="G109" s="11" t="str">
        <f>IF(IFERROR(MATCH(F109,МДМ!$A:$A,0),0)=0,"Не установлено","Установлено")</f>
        <v>Установлено</v>
      </c>
      <c r="H109" s="1" t="s">
        <v>272</v>
      </c>
      <c r="I109" s="1">
        <v>9805101748</v>
      </c>
    </row>
    <row r="110" spans="1:9" ht="15" customHeight="1" x14ac:dyDescent="0.25">
      <c r="A110" s="1">
        <v>109</v>
      </c>
      <c r="B110" s="7" t="s">
        <v>42</v>
      </c>
      <c r="C110" s="13" t="s">
        <v>89</v>
      </c>
      <c r="D110" s="14" t="s">
        <v>100</v>
      </c>
      <c r="E110" s="17" t="s">
        <v>101</v>
      </c>
      <c r="F110" s="10">
        <v>358205080902805</v>
      </c>
      <c r="G110" s="11" t="str">
        <f>IF(IFERROR(MATCH(F110,МДМ!$A:$A,0),0)=0,"Не установлено","Установлено")</f>
        <v>Установлено</v>
      </c>
      <c r="H110" s="1" t="s">
        <v>273</v>
      </c>
      <c r="I110" s="1">
        <v>9105261652</v>
      </c>
    </row>
    <row r="111" spans="1:9" ht="15" customHeight="1" x14ac:dyDescent="0.25">
      <c r="A111" s="1">
        <v>110</v>
      </c>
      <c r="B111" s="7" t="s">
        <v>42</v>
      </c>
      <c r="C111" s="13" t="s">
        <v>89</v>
      </c>
      <c r="D111" s="14" t="s">
        <v>100</v>
      </c>
      <c r="E111" s="17" t="s">
        <v>101</v>
      </c>
      <c r="F111" s="10">
        <v>358205080902540</v>
      </c>
      <c r="G111" s="11" t="str">
        <f>IF(IFERROR(MATCH(F111,МДМ!$A:$A,0),0)=0,"Не установлено","Установлено")</f>
        <v>Установлено</v>
      </c>
      <c r="H111" s="1" t="s">
        <v>273</v>
      </c>
      <c r="I111" s="1">
        <v>9105261652</v>
      </c>
    </row>
    <row r="112" spans="1:9" ht="15" customHeight="1" x14ac:dyDescent="0.25">
      <c r="A112" s="1">
        <v>111</v>
      </c>
      <c r="B112" s="7" t="s">
        <v>42</v>
      </c>
      <c r="C112" s="13" t="s">
        <v>89</v>
      </c>
      <c r="D112" s="14" t="s">
        <v>100</v>
      </c>
      <c r="E112" s="17" t="s">
        <v>101</v>
      </c>
      <c r="F112" s="10">
        <v>358205080889994</v>
      </c>
      <c r="G112" s="11" t="str">
        <f>IF(IFERROR(MATCH(F112,МДМ!$A:$A,0),0)=0,"Не установлено","Установлено")</f>
        <v>Не установлено</v>
      </c>
      <c r="H112" s="1" t="s">
        <v>273</v>
      </c>
      <c r="I112" s="1">
        <v>9105261652</v>
      </c>
    </row>
    <row r="113" spans="1:9" ht="15" customHeight="1" x14ac:dyDescent="0.25">
      <c r="A113" s="1">
        <v>112</v>
      </c>
      <c r="B113" s="7" t="s">
        <v>42</v>
      </c>
      <c r="C113" s="13" t="s">
        <v>89</v>
      </c>
      <c r="D113" s="14" t="s">
        <v>100</v>
      </c>
      <c r="E113" s="17" t="s">
        <v>101</v>
      </c>
      <c r="F113" s="10">
        <v>358205080903134</v>
      </c>
      <c r="G113" s="11" t="str">
        <f>IF(IFERROR(MATCH(F113,МДМ!$A:$A,0),0)=0,"Не установлено","Установлено")</f>
        <v>Установлено</v>
      </c>
      <c r="H113" s="1" t="s">
        <v>273</v>
      </c>
      <c r="I113" s="1">
        <v>9105261652</v>
      </c>
    </row>
    <row r="114" spans="1:9" ht="15" customHeight="1" x14ac:dyDescent="0.25">
      <c r="A114" s="1">
        <v>113</v>
      </c>
      <c r="B114" s="7" t="s">
        <v>42</v>
      </c>
      <c r="C114" s="13" t="s">
        <v>89</v>
      </c>
      <c r="D114" s="14" t="s">
        <v>102</v>
      </c>
      <c r="E114" s="17" t="s">
        <v>103</v>
      </c>
      <c r="F114" s="10">
        <v>358205080902425</v>
      </c>
      <c r="G114" s="11" t="str">
        <f>IF(IFERROR(MATCH(F114,МДМ!$A:$A,0),0)=0,"Не установлено","Установлено")</f>
        <v>Установлено</v>
      </c>
      <c r="H114" s="1" t="s">
        <v>274</v>
      </c>
      <c r="I114" s="1">
        <v>9092508500</v>
      </c>
    </row>
    <row r="115" spans="1:9" ht="15" customHeight="1" x14ac:dyDescent="0.25">
      <c r="A115" s="1">
        <v>114</v>
      </c>
      <c r="B115" s="7" t="s">
        <v>42</v>
      </c>
      <c r="C115" s="13" t="s">
        <v>89</v>
      </c>
      <c r="D115" s="14" t="s">
        <v>102</v>
      </c>
      <c r="E115" s="17" t="s">
        <v>103</v>
      </c>
      <c r="F115" s="10">
        <v>358205080889119</v>
      </c>
      <c r="G115" s="11" t="str">
        <f>IF(IFERROR(MATCH(F115,МДМ!$A:$A,0),0)=0,"Не установлено","Установлено")</f>
        <v>Не установлено</v>
      </c>
      <c r="H115" s="1" t="s">
        <v>274</v>
      </c>
      <c r="I115" s="1">
        <v>9092508500</v>
      </c>
    </row>
    <row r="116" spans="1:9" ht="15" customHeight="1" x14ac:dyDescent="0.25">
      <c r="A116" s="1">
        <v>115</v>
      </c>
      <c r="B116" s="7" t="s">
        <v>42</v>
      </c>
      <c r="C116" s="13" t="s">
        <v>89</v>
      </c>
      <c r="D116" s="14" t="s">
        <v>102</v>
      </c>
      <c r="E116" s="17" t="s">
        <v>103</v>
      </c>
      <c r="F116" s="10">
        <v>358205080903365</v>
      </c>
      <c r="G116" s="11" t="str">
        <f>IF(IFERROR(MATCH(F116,МДМ!$A:$A,0),0)=0,"Не установлено","Установлено")</f>
        <v>Не установлено</v>
      </c>
      <c r="H116" s="1" t="s">
        <v>274</v>
      </c>
      <c r="I116" s="1">
        <v>9092508500</v>
      </c>
    </row>
    <row r="117" spans="1:9" ht="15" customHeight="1" x14ac:dyDescent="0.25">
      <c r="A117" s="1">
        <v>116</v>
      </c>
      <c r="B117" s="7" t="s">
        <v>42</v>
      </c>
      <c r="C117" s="13" t="s">
        <v>89</v>
      </c>
      <c r="D117" s="14" t="s">
        <v>104</v>
      </c>
      <c r="E117" s="17" t="s">
        <v>105</v>
      </c>
      <c r="F117" s="10">
        <v>358205080890083</v>
      </c>
      <c r="G117" s="11" t="str">
        <f>IF(IFERROR(MATCH(F117,МДМ!$A:$A,0),0)=0,"Не установлено","Установлено")</f>
        <v>Установлено</v>
      </c>
      <c r="H117" s="1" t="s">
        <v>275</v>
      </c>
      <c r="I117" s="1">
        <v>9109114361</v>
      </c>
    </row>
    <row r="118" spans="1:9" ht="15" customHeight="1" x14ac:dyDescent="0.25">
      <c r="A118" s="1">
        <v>117</v>
      </c>
      <c r="B118" s="7" t="s">
        <v>42</v>
      </c>
      <c r="C118" s="13" t="s">
        <v>89</v>
      </c>
      <c r="D118" s="14" t="s">
        <v>104</v>
      </c>
      <c r="E118" s="17" t="s">
        <v>105</v>
      </c>
      <c r="F118" s="10">
        <v>358205080890414</v>
      </c>
      <c r="G118" s="11" t="str">
        <f>IF(IFERROR(MATCH(F118,МДМ!$A:$A,0),0)=0,"Не установлено","Установлено")</f>
        <v>Установлено</v>
      </c>
      <c r="H118" s="1" t="s">
        <v>275</v>
      </c>
      <c r="I118" s="1">
        <v>9109114361</v>
      </c>
    </row>
    <row r="119" spans="1:9" ht="15" customHeight="1" x14ac:dyDescent="0.25">
      <c r="A119" s="1">
        <v>118</v>
      </c>
      <c r="B119" s="7" t="s">
        <v>42</v>
      </c>
      <c r="C119" s="13" t="s">
        <v>89</v>
      </c>
      <c r="D119" s="14" t="s">
        <v>104</v>
      </c>
      <c r="E119" s="17" t="s">
        <v>105</v>
      </c>
      <c r="F119" s="10">
        <v>358205080889648</v>
      </c>
      <c r="G119" s="11" t="str">
        <f>IF(IFERROR(MATCH(F119,МДМ!$A:$A,0),0)=0,"Не установлено","Установлено")</f>
        <v>Установлено</v>
      </c>
      <c r="H119" s="1" t="s">
        <v>275</v>
      </c>
      <c r="I119" s="1">
        <v>9109114361</v>
      </c>
    </row>
    <row r="120" spans="1:9" ht="15" customHeight="1" x14ac:dyDescent="0.25">
      <c r="A120" s="1">
        <v>119</v>
      </c>
      <c r="B120" s="7" t="s">
        <v>42</v>
      </c>
      <c r="C120" s="8" t="s">
        <v>106</v>
      </c>
      <c r="D120" s="7" t="s">
        <v>107</v>
      </c>
      <c r="E120" s="17">
        <v>9823908928</v>
      </c>
      <c r="F120" s="18">
        <v>358205080871612</v>
      </c>
      <c r="G120" s="11" t="str">
        <f>IF(IFERROR(MATCH(F120,МДМ!$A:$A,0),0)=0,"Не установлено","Установлено")</f>
        <v>Не установлено</v>
      </c>
      <c r="H120" s="1" t="s">
        <v>276</v>
      </c>
      <c r="I120" s="1">
        <v>9128296799</v>
      </c>
    </row>
    <row r="121" spans="1:9" ht="15" customHeight="1" x14ac:dyDescent="0.25">
      <c r="A121" s="1">
        <v>120</v>
      </c>
      <c r="B121" s="7" t="s">
        <v>42</v>
      </c>
      <c r="C121" s="8" t="s">
        <v>106</v>
      </c>
      <c r="D121" s="7" t="s">
        <v>108</v>
      </c>
      <c r="E121" s="17">
        <v>9823910455</v>
      </c>
      <c r="F121" s="18">
        <v>358205080891057</v>
      </c>
      <c r="G121" s="11" t="str">
        <f>IF(IFERROR(MATCH(F121,МДМ!$A:$A,0),0)=0,"Не установлено","Установлено")</f>
        <v>Установлено</v>
      </c>
      <c r="H121" s="1" t="s">
        <v>277</v>
      </c>
      <c r="I121" s="1">
        <v>9123698057</v>
      </c>
    </row>
    <row r="122" spans="1:9" ht="15" customHeight="1" x14ac:dyDescent="0.25">
      <c r="A122" s="1">
        <v>121</v>
      </c>
      <c r="B122" s="7" t="s">
        <v>42</v>
      </c>
      <c r="C122" s="8" t="s">
        <v>106</v>
      </c>
      <c r="D122" s="7" t="s">
        <v>109</v>
      </c>
      <c r="E122" s="17">
        <v>9823910943</v>
      </c>
      <c r="F122" s="18">
        <v>358205080902714</v>
      </c>
      <c r="G122" s="11" t="str">
        <f>IF(IFERROR(MATCH(F122,МДМ!$A:$A,0),0)=0,"Не установлено","Установлено")</f>
        <v>Не установлено</v>
      </c>
      <c r="H122" s="1" t="s">
        <v>278</v>
      </c>
      <c r="I122" s="1">
        <v>9823840880</v>
      </c>
    </row>
    <row r="123" spans="1:9" ht="15" customHeight="1" x14ac:dyDescent="0.25">
      <c r="A123" s="1">
        <v>122</v>
      </c>
      <c r="B123" s="7" t="s">
        <v>42</v>
      </c>
      <c r="C123" s="13" t="s">
        <v>106</v>
      </c>
      <c r="D123" s="14" t="s">
        <v>110</v>
      </c>
      <c r="E123" s="17">
        <v>9823910460</v>
      </c>
      <c r="F123" s="18">
        <v>358205080904785</v>
      </c>
      <c r="G123" s="11" t="str">
        <f>IF(IFERROR(MATCH(F123,МДМ!$A:$A,0),0)=0,"Не установлено","Установлено")</f>
        <v>Установлено</v>
      </c>
      <c r="H123" s="1" t="s">
        <v>279</v>
      </c>
      <c r="I123" s="1">
        <v>9127011218</v>
      </c>
    </row>
    <row r="124" spans="1:9" ht="15" customHeight="1" x14ac:dyDescent="0.25">
      <c r="A124" s="1">
        <v>123</v>
      </c>
      <c r="B124" s="7" t="s">
        <v>9</v>
      </c>
      <c r="C124" s="8" t="s">
        <v>111</v>
      </c>
      <c r="D124" s="7" t="s">
        <v>112</v>
      </c>
      <c r="E124" s="17"/>
      <c r="F124" s="18">
        <v>358205083586993</v>
      </c>
      <c r="G124" s="11" t="str">
        <f>IF(IFERROR(MATCH(F124,МДМ!$A:$A,0),0)=0,"Не установлено","Установлено")</f>
        <v>Установлено</v>
      </c>
      <c r="H124" s="1" t="s">
        <v>280</v>
      </c>
      <c r="I124" s="1">
        <v>9159049591</v>
      </c>
    </row>
    <row r="125" spans="1:9" ht="15" customHeight="1" x14ac:dyDescent="0.25">
      <c r="A125" s="1">
        <v>124</v>
      </c>
      <c r="B125" s="7" t="s">
        <v>9</v>
      </c>
      <c r="C125" s="8" t="s">
        <v>111</v>
      </c>
      <c r="D125" s="7" t="s">
        <v>112</v>
      </c>
      <c r="E125" s="17"/>
      <c r="F125" s="18">
        <v>358205083586886</v>
      </c>
      <c r="G125" s="11" t="str">
        <f>IF(IFERROR(MATCH(F125,МДМ!$A:$A,0),0)=0,"Не установлено","Установлено")</f>
        <v>Не установлено</v>
      </c>
      <c r="H125" s="1" t="s">
        <v>280</v>
      </c>
      <c r="I125" s="1">
        <v>9159049591</v>
      </c>
    </row>
    <row r="126" spans="1:9" ht="15" customHeight="1" x14ac:dyDescent="0.25">
      <c r="A126" s="1">
        <v>125</v>
      </c>
      <c r="B126" s="7" t="s">
        <v>9</v>
      </c>
      <c r="C126" s="8" t="s">
        <v>111</v>
      </c>
      <c r="D126" s="7" t="s">
        <v>113</v>
      </c>
      <c r="E126" s="17"/>
      <c r="F126" s="18">
        <v>358205083574833</v>
      </c>
      <c r="G126" s="11" t="str">
        <f>IF(IFERROR(MATCH(F126,МДМ!$A:$A,0),0)=0,"Не установлено","Установлено")</f>
        <v>Не установлено</v>
      </c>
      <c r="H126" s="1" t="s">
        <v>281</v>
      </c>
      <c r="I126" s="1">
        <v>9106600728</v>
      </c>
    </row>
    <row r="127" spans="1:9" ht="15" customHeight="1" x14ac:dyDescent="0.25">
      <c r="A127" s="1">
        <v>126</v>
      </c>
      <c r="B127" s="7" t="s">
        <v>9</v>
      </c>
      <c r="C127" s="8" t="s">
        <v>111</v>
      </c>
      <c r="D127" s="7" t="s">
        <v>113</v>
      </c>
      <c r="E127" s="17"/>
      <c r="F127" s="18">
        <v>358205083574973</v>
      </c>
      <c r="G127" s="11" t="str">
        <f>IF(IFERROR(MATCH(F127,МДМ!$A:$A,0),0)=0,"Не установлено","Установлено")</f>
        <v>Установлено</v>
      </c>
      <c r="H127" s="1" t="s">
        <v>281</v>
      </c>
      <c r="I127" s="1">
        <v>9106600728</v>
      </c>
    </row>
    <row r="128" spans="1:9" ht="15" customHeight="1" x14ac:dyDescent="0.25">
      <c r="A128" s="1">
        <v>127</v>
      </c>
      <c r="B128" s="7" t="s">
        <v>9</v>
      </c>
      <c r="C128" s="8" t="s">
        <v>111</v>
      </c>
      <c r="D128" s="7" t="s">
        <v>113</v>
      </c>
      <c r="E128" s="17"/>
      <c r="F128" s="18">
        <v>358205083574965</v>
      </c>
      <c r="G128" s="11" t="str">
        <f>IF(IFERROR(MATCH(F128,МДМ!$A:$A,0),0)=0,"Не установлено","Установлено")</f>
        <v>Не установлено</v>
      </c>
      <c r="H128" s="1" t="s">
        <v>281</v>
      </c>
      <c r="I128" s="1">
        <v>9106600728</v>
      </c>
    </row>
    <row r="129" spans="1:9" ht="15" customHeight="1" x14ac:dyDescent="0.25">
      <c r="A129" s="1">
        <v>128</v>
      </c>
      <c r="B129" s="7" t="s">
        <v>9</v>
      </c>
      <c r="C129" s="8" t="s">
        <v>111</v>
      </c>
      <c r="D129" s="7" t="s">
        <v>113</v>
      </c>
      <c r="E129" s="17"/>
      <c r="F129" s="18">
        <v>358205083586936</v>
      </c>
      <c r="G129" s="11" t="str">
        <f>IF(IFERROR(MATCH(F129,МДМ!$A:$A,0),0)=0,"Не установлено","Установлено")</f>
        <v>Установлено</v>
      </c>
      <c r="H129" s="1" t="s">
        <v>281</v>
      </c>
      <c r="I129" s="1">
        <v>9106600728</v>
      </c>
    </row>
    <row r="130" spans="1:9" ht="15" customHeight="1" x14ac:dyDescent="0.25">
      <c r="A130" s="1">
        <v>129</v>
      </c>
      <c r="B130" s="7" t="s">
        <v>9</v>
      </c>
      <c r="C130" s="13" t="s">
        <v>111</v>
      </c>
      <c r="D130" s="14" t="s">
        <v>114</v>
      </c>
      <c r="E130" s="17"/>
      <c r="F130" s="18">
        <v>358205083575103</v>
      </c>
      <c r="G130" s="11" t="str">
        <f>IF(IFERROR(MATCH(F130,МДМ!$A:$A,0),0)=0,"Не установлено","Установлено")</f>
        <v>Не установлено</v>
      </c>
      <c r="H130" s="1" t="s">
        <v>282</v>
      </c>
      <c r="I130" s="1">
        <v>9159007319</v>
      </c>
    </row>
    <row r="131" spans="1:9" ht="15" customHeight="1" x14ac:dyDescent="0.25">
      <c r="A131" s="1">
        <v>130</v>
      </c>
      <c r="B131" s="7" t="s">
        <v>9</v>
      </c>
      <c r="C131" s="13" t="s">
        <v>111</v>
      </c>
      <c r="D131" s="14" t="s">
        <v>114</v>
      </c>
      <c r="E131" s="17"/>
      <c r="F131" s="18">
        <v>358205083574411</v>
      </c>
      <c r="G131" s="11" t="str">
        <f>IF(IFERROR(MATCH(F131,МДМ!$A:$A,0),0)=0,"Не установлено","Установлено")</f>
        <v>Установлено</v>
      </c>
      <c r="H131" s="1" t="s">
        <v>282</v>
      </c>
      <c r="I131" s="1">
        <v>9159007319</v>
      </c>
    </row>
    <row r="132" spans="1:9" ht="15" customHeight="1" x14ac:dyDescent="0.25">
      <c r="A132" s="1">
        <v>131</v>
      </c>
      <c r="B132" s="7" t="s">
        <v>9</v>
      </c>
      <c r="C132" s="8" t="s">
        <v>115</v>
      </c>
      <c r="D132" s="7" t="s">
        <v>116</v>
      </c>
      <c r="E132" s="17">
        <v>79107405866</v>
      </c>
      <c r="F132" s="10">
        <v>358205080898011</v>
      </c>
      <c r="G132" s="11" t="str">
        <f>IF(IFERROR(MATCH(F132,МДМ!$A:$A,0),0)=0,"Не установлено","Установлено")</f>
        <v>Не установлено</v>
      </c>
      <c r="H132" s="1" t="s">
        <v>283</v>
      </c>
      <c r="I132" s="1">
        <v>9155119116</v>
      </c>
    </row>
    <row r="133" spans="1:9" ht="15" customHeight="1" x14ac:dyDescent="0.25">
      <c r="A133" s="1">
        <v>132</v>
      </c>
      <c r="B133" s="7" t="s">
        <v>9</v>
      </c>
      <c r="C133" s="8" t="s">
        <v>115</v>
      </c>
      <c r="D133" s="7" t="s">
        <v>117</v>
      </c>
      <c r="E133" s="17">
        <v>79107404938</v>
      </c>
      <c r="F133" s="10">
        <v>358205080897559</v>
      </c>
      <c r="G133" s="11" t="str">
        <f>IF(IFERROR(MATCH(F133,МДМ!$A:$A,0),0)=0,"Не установлено","Установлено")</f>
        <v>Установлено</v>
      </c>
      <c r="H133" s="1" t="s">
        <v>284</v>
      </c>
      <c r="I133" s="1">
        <v>9107306139</v>
      </c>
    </row>
    <row r="134" spans="1:9" ht="15" customHeight="1" x14ac:dyDescent="0.25">
      <c r="A134" s="1">
        <v>133</v>
      </c>
      <c r="B134" s="7" t="s">
        <v>9</v>
      </c>
      <c r="C134" s="13" t="s">
        <v>115</v>
      </c>
      <c r="D134" s="14" t="s">
        <v>118</v>
      </c>
      <c r="E134" s="17">
        <v>79107405659</v>
      </c>
      <c r="F134" s="10">
        <v>358205080897922</v>
      </c>
      <c r="G134" s="11" t="str">
        <f>IF(IFERROR(MATCH(F134,МДМ!$A:$A,0),0)=0,"Не установлено","Установлено")</f>
        <v>Не установлено</v>
      </c>
      <c r="H134" s="1" t="s">
        <v>285</v>
      </c>
      <c r="I134" s="1">
        <v>9192716469</v>
      </c>
    </row>
    <row r="135" spans="1:9" ht="15" customHeight="1" x14ac:dyDescent="0.25">
      <c r="A135" s="1">
        <v>134</v>
      </c>
      <c r="B135" s="7" t="s">
        <v>9</v>
      </c>
      <c r="C135" s="8" t="s">
        <v>119</v>
      </c>
      <c r="D135" s="7" t="s">
        <v>120</v>
      </c>
      <c r="E135" s="17">
        <v>89803588593</v>
      </c>
      <c r="F135" s="19">
        <v>358205083574056</v>
      </c>
      <c r="G135" s="11" t="str">
        <f>IF(IFERROR(MATCH(F135,МДМ!$A:$A,0),0)=0,"Не установлено","Установлено")</f>
        <v>Не установлено</v>
      </c>
      <c r="H135" s="1" t="s">
        <v>286</v>
      </c>
      <c r="I135" s="1">
        <v>9802516610</v>
      </c>
    </row>
    <row r="136" spans="1:9" ht="15" customHeight="1" x14ac:dyDescent="0.25">
      <c r="A136" s="1">
        <v>135</v>
      </c>
      <c r="B136" s="7" t="s">
        <v>9</v>
      </c>
      <c r="C136" s="8" t="s">
        <v>119</v>
      </c>
      <c r="D136" s="7" t="s">
        <v>121</v>
      </c>
      <c r="E136" s="20" t="s">
        <v>122</v>
      </c>
      <c r="F136" s="19">
        <v>355002799494809</v>
      </c>
      <c r="G136" s="11" t="str">
        <f>IF(IFERROR(MATCH(F136,МДМ!$A:$A,0),0)=0,"Не установлено","Установлено")</f>
        <v>Не установлено</v>
      </c>
      <c r="H136" s="1" t="s">
        <v>287</v>
      </c>
      <c r="I136" s="1">
        <v>9803585461</v>
      </c>
    </row>
    <row r="137" spans="1:9" ht="15" customHeight="1" x14ac:dyDescent="0.25">
      <c r="A137" s="1">
        <v>136</v>
      </c>
      <c r="B137" s="7" t="s">
        <v>9</v>
      </c>
      <c r="C137" s="8" t="s">
        <v>119</v>
      </c>
      <c r="D137" s="7" t="s">
        <v>123</v>
      </c>
      <c r="E137" s="17">
        <v>89803585424</v>
      </c>
      <c r="F137" s="19">
        <v>358205083574072</v>
      </c>
      <c r="G137" s="11" t="str">
        <f>IF(IFERROR(MATCH(F137,МДМ!$A:$A,0),0)=0,"Не установлено","Установлено")</f>
        <v>Установлено</v>
      </c>
      <c r="H137" s="1" t="s">
        <v>288</v>
      </c>
      <c r="I137" s="1">
        <v>89205451686</v>
      </c>
    </row>
    <row r="138" spans="1:9" ht="15" customHeight="1" x14ac:dyDescent="0.25">
      <c r="A138" s="1">
        <v>137</v>
      </c>
      <c r="B138" s="7" t="s">
        <v>9</v>
      </c>
      <c r="C138" s="13" t="s">
        <v>119</v>
      </c>
      <c r="D138" s="14" t="s">
        <v>124</v>
      </c>
      <c r="E138" s="17">
        <v>89102517007</v>
      </c>
      <c r="F138" s="19">
        <v>358205083573579</v>
      </c>
      <c r="G138" s="11" t="str">
        <f>IF(IFERROR(MATCH(F138,МДМ!$A:$A,0),0)=0,"Не установлено","Установлено")</f>
        <v>Не установлено</v>
      </c>
      <c r="H138" s="1" t="s">
        <v>289</v>
      </c>
      <c r="I138" s="1">
        <v>9803587351</v>
      </c>
    </row>
    <row r="139" spans="1:9" ht="15" customHeight="1" x14ac:dyDescent="0.25">
      <c r="A139" s="1">
        <v>138</v>
      </c>
      <c r="B139" s="7" t="s">
        <v>42</v>
      </c>
      <c r="C139" s="8" t="s">
        <v>125</v>
      </c>
      <c r="D139" s="7" t="s">
        <v>126</v>
      </c>
      <c r="E139" s="17" t="s">
        <v>127</v>
      </c>
      <c r="F139" s="10">
        <v>358205083575046</v>
      </c>
      <c r="G139" s="11" t="str">
        <f>IF(IFERROR(MATCH(F139,МДМ!$A:$A,0),0)=0,"Не установлено","Установлено")</f>
        <v>Установлено</v>
      </c>
      <c r="H139" s="1" t="s">
        <v>290</v>
      </c>
      <c r="I139" s="1">
        <v>9194198775</v>
      </c>
    </row>
    <row r="140" spans="1:9" ht="15" customHeight="1" x14ac:dyDescent="0.25">
      <c r="A140" s="1">
        <v>139</v>
      </c>
      <c r="B140" s="7" t="s">
        <v>42</v>
      </c>
      <c r="C140" s="8" t="s">
        <v>125</v>
      </c>
      <c r="D140" s="7" t="s">
        <v>126</v>
      </c>
      <c r="E140" s="17" t="s">
        <v>127</v>
      </c>
      <c r="F140" s="10">
        <v>358205083573850</v>
      </c>
      <c r="G140" s="11" t="str">
        <f>IF(IFERROR(MATCH(F140,МДМ!$A:$A,0),0)=0,"Не установлено","Установлено")</f>
        <v>Установлено</v>
      </c>
      <c r="H140" s="1" t="s">
        <v>290</v>
      </c>
      <c r="I140" s="1">
        <v>9194198775</v>
      </c>
    </row>
    <row r="141" spans="1:9" ht="15" customHeight="1" x14ac:dyDescent="0.25">
      <c r="A141" s="1">
        <v>140</v>
      </c>
      <c r="B141" s="7" t="s">
        <v>42</v>
      </c>
      <c r="C141" s="8" t="s">
        <v>125</v>
      </c>
      <c r="D141" s="7" t="s">
        <v>128</v>
      </c>
      <c r="E141" s="17" t="s">
        <v>129</v>
      </c>
      <c r="F141" s="10">
        <v>358205080846176</v>
      </c>
      <c r="G141" s="11" t="str">
        <f>IF(IFERROR(MATCH(F141,МДМ!$A:$A,0),0)=0,"Не установлено","Установлено")</f>
        <v>Установлено</v>
      </c>
      <c r="H141" s="1" t="s">
        <v>291</v>
      </c>
      <c r="I141" s="1">
        <v>9023250108</v>
      </c>
    </row>
    <row r="142" spans="1:9" ht="15" customHeight="1" x14ac:dyDescent="0.25">
      <c r="A142" s="1">
        <v>141</v>
      </c>
      <c r="B142" s="7" t="s">
        <v>42</v>
      </c>
      <c r="C142" s="8" t="s">
        <v>125</v>
      </c>
      <c r="D142" s="7" t="s">
        <v>128</v>
      </c>
      <c r="E142" s="17" t="s">
        <v>129</v>
      </c>
      <c r="F142" s="10">
        <v>358205080905089</v>
      </c>
      <c r="G142" s="11" t="str">
        <f>IF(IFERROR(MATCH(F142,МДМ!$A:$A,0),0)=0,"Не установлено","Установлено")</f>
        <v>Установлено</v>
      </c>
      <c r="H142" s="1" t="s">
        <v>291</v>
      </c>
      <c r="I142" s="1">
        <v>9023250108</v>
      </c>
    </row>
    <row r="143" spans="1:9" ht="15" customHeight="1" x14ac:dyDescent="0.25">
      <c r="A143" s="1">
        <v>142</v>
      </c>
      <c r="B143" s="7" t="s">
        <v>42</v>
      </c>
      <c r="C143" s="8" t="s">
        <v>125</v>
      </c>
      <c r="D143" s="7" t="s">
        <v>130</v>
      </c>
      <c r="E143" s="17" t="s">
        <v>131</v>
      </c>
      <c r="F143" s="10">
        <v>358205080845830</v>
      </c>
      <c r="G143" s="11" t="str">
        <f>IF(IFERROR(MATCH(F143,МДМ!$A:$A,0),0)=0,"Не установлено","Установлено")</f>
        <v>Установлено</v>
      </c>
      <c r="H143" s="1" t="s">
        <v>292</v>
      </c>
      <c r="I143" s="1">
        <v>9877079423</v>
      </c>
    </row>
    <row r="144" spans="1:9" ht="15" customHeight="1" x14ac:dyDescent="0.25">
      <c r="A144" s="1">
        <v>143</v>
      </c>
      <c r="B144" s="7" t="s">
        <v>42</v>
      </c>
      <c r="C144" s="8" t="s">
        <v>125</v>
      </c>
      <c r="D144" s="7" t="s">
        <v>130</v>
      </c>
      <c r="E144" s="17" t="s">
        <v>131</v>
      </c>
      <c r="F144" s="10">
        <v>358205080904215</v>
      </c>
      <c r="G144" s="11" t="str">
        <f>IF(IFERROR(MATCH(F144,МДМ!$A:$A,0),0)=0,"Не установлено","Установлено")</f>
        <v>Установлено</v>
      </c>
      <c r="H144" s="1" t="s">
        <v>292</v>
      </c>
      <c r="I144" s="1">
        <v>9877079423</v>
      </c>
    </row>
    <row r="145" spans="1:11" ht="15" customHeight="1" x14ac:dyDescent="0.25">
      <c r="A145" s="1">
        <v>144</v>
      </c>
      <c r="B145" s="7" t="s">
        <v>42</v>
      </c>
      <c r="C145" s="13" t="s">
        <v>125</v>
      </c>
      <c r="D145" s="14" t="s">
        <v>132</v>
      </c>
      <c r="E145" s="17" t="s">
        <v>133</v>
      </c>
      <c r="F145" s="10">
        <v>358205080888921</v>
      </c>
      <c r="G145" s="11" t="str">
        <f>IF(IFERROR(MATCH(F145,МДМ!$A:$A,0),0)=0,"Не установлено","Установлено")</f>
        <v>Установлено</v>
      </c>
      <c r="H145" s="1" t="s">
        <v>293</v>
      </c>
      <c r="I145" s="1">
        <v>9278858196</v>
      </c>
    </row>
    <row r="146" spans="1:11" ht="15" customHeight="1" x14ac:dyDescent="0.25">
      <c r="A146" s="1">
        <v>145</v>
      </c>
      <c r="B146" s="7" t="s">
        <v>42</v>
      </c>
      <c r="C146" s="13" t="s">
        <v>125</v>
      </c>
      <c r="D146" s="14" t="s">
        <v>132</v>
      </c>
      <c r="E146" s="17" t="s">
        <v>133</v>
      </c>
      <c r="F146" s="10">
        <v>358205080846119</v>
      </c>
      <c r="G146" s="11" t="str">
        <f>IF(IFERROR(MATCH(F146,МДМ!$A:$A,0),0)=0,"Не установлено","Установлено")</f>
        <v>Установлено</v>
      </c>
      <c r="H146" s="1" t="s">
        <v>293</v>
      </c>
      <c r="I146" s="1">
        <v>9278858196</v>
      </c>
    </row>
    <row r="147" spans="1:11" ht="15" customHeight="1" x14ac:dyDescent="0.25">
      <c r="A147" s="1">
        <v>146</v>
      </c>
      <c r="B147" s="15" t="s">
        <v>42</v>
      </c>
      <c r="C147" s="8" t="s">
        <v>134</v>
      </c>
      <c r="D147" s="15" t="s">
        <v>135</v>
      </c>
      <c r="E147" s="50" t="s">
        <v>136</v>
      </c>
      <c r="F147" s="16">
        <v>358205080883658</v>
      </c>
      <c r="G147" s="11" t="str">
        <f>IF(IFERROR(MATCH(F147,МДМ!$A:$A,0),0)=0,"Не установлено","Установлено")</f>
        <v>Установлено</v>
      </c>
      <c r="H147" s="1" t="s">
        <v>294</v>
      </c>
      <c r="I147" s="1">
        <v>9202550445</v>
      </c>
    </row>
    <row r="148" spans="1:11" ht="15" customHeight="1" x14ac:dyDescent="0.25">
      <c r="A148" s="1">
        <v>147</v>
      </c>
      <c r="B148" s="15" t="s">
        <v>42</v>
      </c>
      <c r="C148" s="8" t="s">
        <v>134</v>
      </c>
      <c r="D148" s="15" t="s">
        <v>135</v>
      </c>
      <c r="E148" s="50" t="s">
        <v>136</v>
      </c>
      <c r="F148" s="16">
        <v>358205080889515</v>
      </c>
      <c r="G148" s="11" t="str">
        <f>IF(IFERROR(MATCH(F148,МДМ!$A:$A,0),0)=0,"Не установлено","Установлено")</f>
        <v>Установлено</v>
      </c>
      <c r="H148" s="1" t="s">
        <v>294</v>
      </c>
      <c r="I148" s="1">
        <v>9202550445</v>
      </c>
    </row>
    <row r="149" spans="1:11" ht="15" customHeight="1" x14ac:dyDescent="0.25">
      <c r="A149" s="1">
        <v>148</v>
      </c>
      <c r="B149" s="15" t="s">
        <v>42</v>
      </c>
      <c r="C149" s="8" t="s">
        <v>134</v>
      </c>
      <c r="D149" s="15" t="s">
        <v>137</v>
      </c>
      <c r="E149" s="51">
        <v>79200106373</v>
      </c>
      <c r="F149" s="16">
        <v>351424285448913</v>
      </c>
      <c r="G149" s="11" t="str">
        <f>IF(IFERROR(MATCH(F149,МДМ!$A:$A,0),0)=0,"Не установлено","Установлено")</f>
        <v>Не установлено</v>
      </c>
    </row>
    <row r="150" spans="1:11" ht="15" customHeight="1" x14ac:dyDescent="0.25">
      <c r="A150" s="1">
        <v>149</v>
      </c>
      <c r="B150" s="15" t="s">
        <v>42</v>
      </c>
      <c r="C150" s="8" t="s">
        <v>134</v>
      </c>
      <c r="D150" s="15" t="s">
        <v>138</v>
      </c>
      <c r="E150" s="21" t="s">
        <v>139</v>
      </c>
      <c r="F150" s="16">
        <v>358205080899746</v>
      </c>
      <c r="G150" s="11" t="str">
        <f>IF(IFERROR(MATCH(F150,МДМ!$A:$A,0),0)=0,"Не установлено","Установлено")</f>
        <v>Не установлено</v>
      </c>
      <c r="H150" s="1" t="s">
        <v>295</v>
      </c>
      <c r="I150" s="1">
        <v>9202555276</v>
      </c>
    </row>
    <row r="151" spans="1:11" ht="15" customHeight="1" x14ac:dyDescent="0.25">
      <c r="A151" s="1">
        <v>150</v>
      </c>
      <c r="B151" s="15" t="s">
        <v>42</v>
      </c>
      <c r="C151" s="8" t="s">
        <v>134</v>
      </c>
      <c r="D151" s="15" t="s">
        <v>138</v>
      </c>
      <c r="E151" s="21" t="s">
        <v>139</v>
      </c>
      <c r="F151" s="16">
        <v>358205080908737</v>
      </c>
      <c r="G151" s="11" t="str">
        <f>IF(IFERROR(MATCH(F151,МДМ!$A:$A,0),0)=0,"Не установлено","Установлено")</f>
        <v>Установлено</v>
      </c>
      <c r="H151" s="1" t="s">
        <v>295</v>
      </c>
      <c r="I151" s="1">
        <v>9202555276</v>
      </c>
    </row>
    <row r="152" spans="1:11" ht="15" customHeight="1" x14ac:dyDescent="0.25">
      <c r="A152" s="1">
        <v>151</v>
      </c>
      <c r="B152" s="15" t="s">
        <v>42</v>
      </c>
      <c r="C152" s="13" t="s">
        <v>134</v>
      </c>
      <c r="D152" s="22" t="s">
        <v>140</v>
      </c>
      <c r="E152" s="50" t="s">
        <v>141</v>
      </c>
      <c r="F152" s="16">
        <v>358205080904082</v>
      </c>
      <c r="G152" s="11" t="str">
        <f>IF(IFERROR(MATCH(F152,МДМ!$A:$A,0),0)=0,"Не установлено","Установлено")</f>
        <v>Установлено</v>
      </c>
    </row>
    <row r="153" spans="1:11" ht="15" customHeight="1" x14ac:dyDescent="0.25">
      <c r="A153" s="1">
        <v>152</v>
      </c>
      <c r="B153" s="15" t="s">
        <v>42</v>
      </c>
      <c r="C153" s="13" t="s">
        <v>134</v>
      </c>
      <c r="D153" s="22" t="s">
        <v>140</v>
      </c>
      <c r="E153" s="50" t="s">
        <v>141</v>
      </c>
      <c r="F153" s="16">
        <v>358205080904090</v>
      </c>
      <c r="G153" s="11" t="str">
        <f>IF(IFERROR(MATCH(F153,МДМ!$A:$A,0),0)=0,"Не установлено","Установлено")</f>
        <v>Установлено</v>
      </c>
    </row>
    <row r="154" spans="1:11" ht="15" customHeight="1" x14ac:dyDescent="0.25">
      <c r="A154" s="1">
        <v>153</v>
      </c>
      <c r="B154" s="15" t="s">
        <v>42</v>
      </c>
      <c r="C154" s="13" t="s">
        <v>134</v>
      </c>
      <c r="D154" s="22" t="s">
        <v>142</v>
      </c>
      <c r="E154" s="50" t="s">
        <v>143</v>
      </c>
      <c r="F154" s="16">
        <v>358205080904504</v>
      </c>
      <c r="G154" s="11" t="str">
        <f>IF(IFERROR(MATCH(F154,МДМ!$A:$A,0),0)=0,"Не установлено","Установлено")</f>
        <v>Установлено</v>
      </c>
    </row>
    <row r="155" spans="1:11" ht="15" customHeight="1" x14ac:dyDescent="0.25">
      <c r="A155" s="1">
        <v>154</v>
      </c>
      <c r="B155" s="15" t="s">
        <v>42</v>
      </c>
      <c r="C155" s="13" t="s">
        <v>134</v>
      </c>
      <c r="D155" s="22" t="s">
        <v>142</v>
      </c>
      <c r="E155" s="50" t="s">
        <v>143</v>
      </c>
      <c r="F155" s="16">
        <v>358205080904512</v>
      </c>
      <c r="G155" s="11" t="str">
        <f>IF(IFERROR(MATCH(F155,МДМ!$A:$A,0),0)=0,"Не установлено","Установлено")</f>
        <v>Установлено</v>
      </c>
    </row>
    <row r="156" spans="1:11" ht="15" customHeight="1" x14ac:dyDescent="0.25">
      <c r="A156" s="1">
        <v>155</v>
      </c>
      <c r="B156" s="7" t="s">
        <v>9</v>
      </c>
      <c r="C156" s="8" t="s">
        <v>144</v>
      </c>
      <c r="D156" s="7" t="s">
        <v>145</v>
      </c>
      <c r="E156" s="17" t="s">
        <v>146</v>
      </c>
      <c r="F156" s="10">
        <v>358205080902284</v>
      </c>
      <c r="G156" s="11" t="str">
        <f>IF(IFERROR(MATCH(F156,МДМ!$A:$A,0),0)=0,"Не установлено","Установлено")</f>
        <v>Не установлено</v>
      </c>
      <c r="H156" s="1" t="s">
        <v>296</v>
      </c>
      <c r="I156" s="1">
        <v>9803699175</v>
      </c>
    </row>
    <row r="157" spans="1:11" ht="15" customHeight="1" x14ac:dyDescent="0.25">
      <c r="A157" s="1">
        <v>156</v>
      </c>
      <c r="B157" s="7" t="s">
        <v>9</v>
      </c>
      <c r="C157" s="8" t="s">
        <v>144</v>
      </c>
      <c r="D157" s="7" t="s">
        <v>145</v>
      </c>
      <c r="E157" s="17" t="s">
        <v>146</v>
      </c>
      <c r="F157" s="10">
        <v>358205080904108</v>
      </c>
      <c r="G157" s="11" t="str">
        <f>IF(IFERROR(MATCH(F157,МДМ!$A:$A,0),0)=0,"Не установлено","Установлено")</f>
        <v>Не установлено</v>
      </c>
      <c r="H157" s="1" t="s">
        <v>296</v>
      </c>
      <c r="I157" s="1">
        <v>9803699175</v>
      </c>
    </row>
    <row r="158" spans="1:11" ht="15" customHeight="1" x14ac:dyDescent="0.25">
      <c r="A158" s="1">
        <v>157</v>
      </c>
      <c r="B158" s="7" t="s">
        <v>9</v>
      </c>
      <c r="C158" s="13" t="s">
        <v>144</v>
      </c>
      <c r="D158" s="7" t="s">
        <v>147</v>
      </c>
      <c r="E158" s="17" t="s">
        <v>148</v>
      </c>
      <c r="F158" s="10">
        <v>358205080908620</v>
      </c>
      <c r="G158" s="11" t="str">
        <f>IF(IFERROR(MATCH(F158,МДМ!$A:$A,0),0)=0,"Не установлено","Установлено")</f>
        <v>Установлено</v>
      </c>
    </row>
    <row r="159" spans="1:11" ht="15" customHeight="1" x14ac:dyDescent="0.25">
      <c r="A159" s="1">
        <v>158</v>
      </c>
      <c r="B159" s="7" t="s">
        <v>9</v>
      </c>
      <c r="C159" s="13" t="s">
        <v>144</v>
      </c>
      <c r="D159" s="7" t="s">
        <v>147</v>
      </c>
      <c r="E159" s="17" t="s">
        <v>148</v>
      </c>
      <c r="F159" s="10">
        <v>358205080909164</v>
      </c>
      <c r="G159" s="11" t="str">
        <f>IF(IFERROR(MATCH(F159,МДМ!$A:$A,0),0)=0,"Не установлено","Установлено")</f>
        <v>Установлено</v>
      </c>
    </row>
    <row r="160" spans="1:11" ht="15" customHeight="1" x14ac:dyDescent="0.25">
      <c r="A160" s="1">
        <v>159</v>
      </c>
      <c r="B160" s="7" t="s">
        <v>42</v>
      </c>
      <c r="C160" s="8" t="s">
        <v>149</v>
      </c>
      <c r="D160" s="7" t="s">
        <v>150</v>
      </c>
      <c r="E160" s="23" t="s">
        <v>151</v>
      </c>
      <c r="F160" s="10">
        <v>358205080871604</v>
      </c>
      <c r="G160" s="11" t="str">
        <f>IF(IFERROR(MATCH(F160,МДМ!$A:$A,0),0)=0,"Не установлено","Установлено")</f>
        <v>Установлено</v>
      </c>
      <c r="H160" s="1" t="s">
        <v>297</v>
      </c>
      <c r="I160" s="1">
        <v>9105659173</v>
      </c>
      <c r="J160" s="1" t="s">
        <v>152</v>
      </c>
      <c r="K160" s="1">
        <v>79156274699</v>
      </c>
    </row>
    <row r="161" spans="1:11" ht="15" customHeight="1" x14ac:dyDescent="0.25">
      <c r="A161" s="1">
        <v>160</v>
      </c>
      <c r="B161" s="7" t="s">
        <v>42</v>
      </c>
      <c r="C161" s="8" t="s">
        <v>149</v>
      </c>
      <c r="D161" s="7" t="s">
        <v>150</v>
      </c>
      <c r="E161" s="23" t="s">
        <v>151</v>
      </c>
      <c r="F161" s="10">
        <v>358205080898029</v>
      </c>
      <c r="G161" s="11" t="str">
        <f>IF(IFERROR(MATCH(F161,МДМ!$A:$A,0),0)=0,"Не установлено","Установлено")</f>
        <v>Установлено</v>
      </c>
      <c r="H161" s="1" t="s">
        <v>297</v>
      </c>
      <c r="I161" s="1">
        <v>9105659173</v>
      </c>
      <c r="J161" s="1" t="s">
        <v>152</v>
      </c>
      <c r="K161" s="1">
        <v>79156274699</v>
      </c>
    </row>
    <row r="162" spans="1:11" ht="15" customHeight="1" x14ac:dyDescent="0.25">
      <c r="A162" s="1">
        <v>161</v>
      </c>
      <c r="B162" s="7" t="s">
        <v>42</v>
      </c>
      <c r="C162" s="8" t="s">
        <v>149</v>
      </c>
      <c r="D162" s="7" t="s">
        <v>153</v>
      </c>
      <c r="E162" s="23" t="s">
        <v>154</v>
      </c>
      <c r="F162" s="10">
        <v>358205080871778</v>
      </c>
      <c r="G162" s="11" t="str">
        <f>IF(IFERROR(MATCH(F162,МДМ!$A:$A,0),0)=0,"Не установлено","Установлено")</f>
        <v>Установлено</v>
      </c>
      <c r="H162" s="1" t="s">
        <v>298</v>
      </c>
      <c r="I162" s="1">
        <v>9156274711</v>
      </c>
      <c r="J162" s="1" t="s">
        <v>155</v>
      </c>
      <c r="K162" s="1">
        <v>79156274731</v>
      </c>
    </row>
    <row r="163" spans="1:11" ht="15" customHeight="1" x14ac:dyDescent="0.25">
      <c r="A163" s="1">
        <v>162</v>
      </c>
      <c r="B163" s="7" t="s">
        <v>42</v>
      </c>
      <c r="C163" s="8" t="s">
        <v>149</v>
      </c>
      <c r="D163" s="7" t="s">
        <v>153</v>
      </c>
      <c r="E163" s="23" t="s">
        <v>154</v>
      </c>
      <c r="F163" s="10">
        <v>358205080898599</v>
      </c>
      <c r="G163" s="11" t="str">
        <f>IF(IFERROR(MATCH(F163,МДМ!$A:$A,0),0)=0,"Не установлено","Установлено")</f>
        <v>Установлено</v>
      </c>
      <c r="H163" s="1" t="s">
        <v>298</v>
      </c>
      <c r="I163" s="1">
        <v>9156274711</v>
      </c>
      <c r="J163" s="1" t="s">
        <v>155</v>
      </c>
      <c r="K163" s="1">
        <v>79156274731</v>
      </c>
    </row>
    <row r="164" spans="1:11" ht="15" customHeight="1" x14ac:dyDescent="0.25">
      <c r="A164" s="1">
        <v>163</v>
      </c>
      <c r="B164" s="7" t="s">
        <v>42</v>
      </c>
      <c r="C164" s="13" t="s">
        <v>149</v>
      </c>
      <c r="D164" s="14" t="s">
        <v>156</v>
      </c>
      <c r="E164" s="23" t="s">
        <v>157</v>
      </c>
      <c r="F164" s="10">
        <v>358205080898250</v>
      </c>
      <c r="G164" s="11" t="str">
        <f>IF(IFERROR(MATCH(F164,МДМ!$A:$A,0),0)=0,"Не установлено","Установлено")</f>
        <v>Установлено</v>
      </c>
      <c r="H164" s="1" t="s">
        <v>299</v>
      </c>
      <c r="I164" s="1" t="s">
        <v>229</v>
      </c>
      <c r="J164" s="1" t="s">
        <v>158</v>
      </c>
    </row>
    <row r="165" spans="1:11" ht="15" customHeight="1" x14ac:dyDescent="0.25">
      <c r="A165" s="1">
        <v>164</v>
      </c>
      <c r="B165" s="7" t="s">
        <v>42</v>
      </c>
      <c r="C165" s="13" t="s">
        <v>149</v>
      </c>
      <c r="D165" s="14" t="s">
        <v>156</v>
      </c>
      <c r="E165" s="23" t="s">
        <v>157</v>
      </c>
      <c r="F165" s="10">
        <v>358205080872008</v>
      </c>
      <c r="G165" s="11" t="str">
        <f>IF(IFERROR(MATCH(F165,МДМ!$A:$A,0),0)=0,"Не установлено","Установлено")</f>
        <v>Установлено</v>
      </c>
      <c r="H165" s="1" t="s">
        <v>299</v>
      </c>
      <c r="I165" s="1" t="s">
        <v>229</v>
      </c>
      <c r="J165" s="1" t="s">
        <v>158</v>
      </c>
    </row>
    <row r="166" spans="1:11" ht="15" customHeight="1" x14ac:dyDescent="0.25">
      <c r="A166" s="1">
        <v>165</v>
      </c>
      <c r="B166" s="7" t="s">
        <v>42</v>
      </c>
      <c r="C166" s="13" t="s">
        <v>149</v>
      </c>
      <c r="D166" s="14" t="s">
        <v>159</v>
      </c>
      <c r="E166" s="23" t="s">
        <v>160</v>
      </c>
      <c r="F166" s="10">
        <v>358205080898490</v>
      </c>
      <c r="G166" s="11" t="str">
        <f>IF(IFERROR(MATCH(F166,МДМ!$A:$A,0),0)=0,"Не установлено","Установлено")</f>
        <v>Установлено</v>
      </c>
      <c r="H166" s="1" t="s">
        <v>300</v>
      </c>
      <c r="I166" s="1">
        <v>9156274696</v>
      </c>
      <c r="J166" s="1" t="s">
        <v>161</v>
      </c>
      <c r="K166" s="1">
        <v>79106119075</v>
      </c>
    </row>
    <row r="167" spans="1:11" ht="15" customHeight="1" x14ac:dyDescent="0.25">
      <c r="A167" s="1">
        <v>166</v>
      </c>
      <c r="B167" s="7" t="s">
        <v>42</v>
      </c>
      <c r="C167" s="13" t="s">
        <v>149</v>
      </c>
      <c r="D167" s="14" t="s">
        <v>159</v>
      </c>
      <c r="E167" s="23" t="s">
        <v>160</v>
      </c>
      <c r="F167" s="10">
        <v>358205080871695</v>
      </c>
      <c r="G167" s="11" t="str">
        <f>IF(IFERROR(MATCH(F167,МДМ!$A:$A,0),0)=0,"Не установлено","Установлено")</f>
        <v>Установлено</v>
      </c>
      <c r="H167" s="1" t="s">
        <v>300</v>
      </c>
      <c r="I167" s="1">
        <v>9156274696</v>
      </c>
      <c r="J167" s="1" t="s">
        <v>161</v>
      </c>
      <c r="K167" s="1">
        <v>79106119075</v>
      </c>
    </row>
    <row r="168" spans="1:11" ht="15" customHeight="1" x14ac:dyDescent="0.25">
      <c r="A168" s="1">
        <v>167</v>
      </c>
      <c r="B168" s="7" t="s">
        <v>9</v>
      </c>
      <c r="C168" s="8" t="s">
        <v>162</v>
      </c>
      <c r="D168" s="7" t="s">
        <v>163</v>
      </c>
      <c r="E168" s="24">
        <v>89156300449</v>
      </c>
      <c r="F168" s="25">
        <v>358205080846804</v>
      </c>
      <c r="G168" s="11" t="str">
        <f>IF(IFERROR(MATCH(F168,МДМ!$A:$A,0),0)=0,"Не установлено","Установлено")</f>
        <v>Установлено</v>
      </c>
      <c r="H168" s="1" t="s">
        <v>301</v>
      </c>
      <c r="I168" s="1">
        <v>9101113684</v>
      </c>
    </row>
    <row r="169" spans="1:11" ht="15" customHeight="1" x14ac:dyDescent="0.25">
      <c r="A169" s="1">
        <v>168</v>
      </c>
      <c r="B169" s="7" t="s">
        <v>9</v>
      </c>
      <c r="C169" s="8" t="s">
        <v>162</v>
      </c>
      <c r="D169" s="7" t="s">
        <v>164</v>
      </c>
      <c r="E169" s="24">
        <v>89156300338</v>
      </c>
      <c r="F169" s="25">
        <v>358205083575095</v>
      </c>
      <c r="G169" s="11" t="str">
        <f>IF(IFERROR(MATCH(F169,МДМ!$A:$A,0),0)=0,"Не установлено","Установлено")</f>
        <v>Установлено</v>
      </c>
      <c r="H169" s="1" t="s">
        <v>302</v>
      </c>
      <c r="I169" s="1">
        <v>9156542943</v>
      </c>
    </row>
    <row r="170" spans="1:11" ht="15" customHeight="1" x14ac:dyDescent="0.25">
      <c r="A170" s="1">
        <v>169</v>
      </c>
      <c r="B170" s="7" t="s">
        <v>9</v>
      </c>
      <c r="C170" s="8" t="s">
        <v>162</v>
      </c>
      <c r="D170" s="7" t="s">
        <v>165</v>
      </c>
      <c r="E170" s="24">
        <v>89156300445</v>
      </c>
      <c r="F170" s="25">
        <v>358205080847216</v>
      </c>
      <c r="G170" s="11" t="str">
        <f>IF(IFERROR(MATCH(F170,МДМ!$A:$A,0),0)=0,"Не установлено","Установлено")</f>
        <v>Установлено</v>
      </c>
      <c r="H170" s="1" t="s">
        <v>303</v>
      </c>
      <c r="I170" s="1">
        <v>9156338638</v>
      </c>
    </row>
    <row r="171" spans="1:11" ht="15" customHeight="1" x14ac:dyDescent="0.25">
      <c r="A171" s="1">
        <v>170</v>
      </c>
      <c r="B171" s="7" t="s">
        <v>9</v>
      </c>
      <c r="C171" s="13" t="s">
        <v>162</v>
      </c>
      <c r="D171" s="14" t="s">
        <v>166</v>
      </c>
      <c r="E171" s="24">
        <v>89156300551</v>
      </c>
      <c r="F171" s="25">
        <v>358205083573975</v>
      </c>
      <c r="G171" s="11" t="str">
        <f>IF(IFERROR(MATCH(F171,МДМ!$A:$A,0),0)=0,"Не установлено","Установлено")</f>
        <v>Установлено</v>
      </c>
      <c r="H171" s="1" t="s">
        <v>304</v>
      </c>
      <c r="I171" s="1">
        <v>9107848375</v>
      </c>
    </row>
    <row r="172" spans="1:11" ht="15" customHeight="1" x14ac:dyDescent="0.25">
      <c r="A172" s="1">
        <v>171</v>
      </c>
      <c r="B172" s="7" t="s">
        <v>9</v>
      </c>
      <c r="C172" s="8" t="s">
        <v>167</v>
      </c>
      <c r="D172" s="7" t="s">
        <v>168</v>
      </c>
      <c r="E172" s="24">
        <v>89106500374</v>
      </c>
      <c r="F172" s="10">
        <v>358205084520801</v>
      </c>
      <c r="G172" s="11" t="str">
        <f>IF(IFERROR(MATCH(F172,МДМ!$A:$A,0),0)=0,"Не установлено","Установлено")</f>
        <v>Установлено</v>
      </c>
      <c r="H172" s="1" t="s">
        <v>169</v>
      </c>
      <c r="I172" s="1" t="s">
        <v>170</v>
      </c>
    </row>
    <row r="173" spans="1:11" ht="15" customHeight="1" x14ac:dyDescent="0.25">
      <c r="A173" s="1">
        <v>172</v>
      </c>
      <c r="B173" s="7" t="s">
        <v>9</v>
      </c>
      <c r="C173" s="8" t="s">
        <v>167</v>
      </c>
      <c r="D173" s="7" t="s">
        <v>171</v>
      </c>
      <c r="E173" s="24">
        <v>89156609131</v>
      </c>
      <c r="F173" s="10">
        <v>358205083585649</v>
      </c>
      <c r="G173" s="11" t="str">
        <f>IF(IFERROR(MATCH(F173,МДМ!$A:$A,0),0)=0,"Не установлено","Установлено")</f>
        <v>Установлено</v>
      </c>
      <c r="H173" s="1" t="s">
        <v>172</v>
      </c>
      <c r="I173" s="1" t="s">
        <v>173</v>
      </c>
    </row>
    <row r="174" spans="1:11" ht="15" customHeight="1" x14ac:dyDescent="0.25">
      <c r="A174" s="1">
        <v>173</v>
      </c>
      <c r="B174" s="7" t="s">
        <v>9</v>
      </c>
      <c r="C174" s="8" t="s">
        <v>174</v>
      </c>
      <c r="D174" s="7" t="s">
        <v>175</v>
      </c>
      <c r="E174" s="24">
        <v>89157304282</v>
      </c>
      <c r="F174" s="10">
        <v>358205083588510</v>
      </c>
      <c r="G174" s="11" t="str">
        <f>IF(IFERROR(MATCH(F174,МДМ!$A:$A,0),0)=0,"Не установлено","Установлено")</f>
        <v>Не установлено</v>
      </c>
      <c r="H174" s="1" t="s">
        <v>176</v>
      </c>
      <c r="I174" s="1" t="s">
        <v>177</v>
      </c>
    </row>
    <row r="175" spans="1:11" ht="15" customHeight="1" x14ac:dyDescent="0.25">
      <c r="A175" s="1">
        <v>174</v>
      </c>
      <c r="B175" s="7" t="s">
        <v>42</v>
      </c>
      <c r="C175" s="8" t="s">
        <v>178</v>
      </c>
      <c r="D175" s="7" t="s">
        <v>179</v>
      </c>
      <c r="E175" s="26" t="s">
        <v>180</v>
      </c>
      <c r="F175" s="25">
        <v>358205083587306</v>
      </c>
      <c r="G175" s="11" t="str">
        <f>IF(IFERROR(MATCH(F175,МДМ!$A:$A,0),0)=0,"Не установлено","Установлено")</f>
        <v>Установлено</v>
      </c>
      <c r="H175" s="27" t="s">
        <v>181</v>
      </c>
      <c r="I175" s="27" t="s">
        <v>182</v>
      </c>
    </row>
    <row r="176" spans="1:11" ht="15" customHeight="1" x14ac:dyDescent="0.25">
      <c r="A176" s="1">
        <v>175</v>
      </c>
      <c r="B176" s="7" t="s">
        <v>42</v>
      </c>
      <c r="C176" s="8" t="s">
        <v>178</v>
      </c>
      <c r="D176" s="7" t="s">
        <v>183</v>
      </c>
      <c r="E176" s="26" t="s">
        <v>184</v>
      </c>
      <c r="F176" s="25">
        <v>358205083574783</v>
      </c>
      <c r="G176" s="11" t="str">
        <f>IF(IFERROR(MATCH(F176,МДМ!$A:$A,0),0)=0,"Не установлено","Установлено")</f>
        <v>Не установлено</v>
      </c>
      <c r="H176" s="27" t="s">
        <v>185</v>
      </c>
      <c r="I176" s="28" t="s">
        <v>186</v>
      </c>
    </row>
    <row r="177" spans="1:11" ht="15" customHeight="1" x14ac:dyDescent="0.25">
      <c r="A177" s="1">
        <v>176</v>
      </c>
      <c r="B177" s="7" t="s">
        <v>42</v>
      </c>
      <c r="C177" s="13" t="s">
        <v>178</v>
      </c>
      <c r="D177" s="14" t="s">
        <v>187</v>
      </c>
      <c r="E177" s="26" t="s">
        <v>188</v>
      </c>
      <c r="F177" s="25">
        <v>358205083574551</v>
      </c>
      <c r="G177" s="11" t="str">
        <f>IF(IFERROR(MATCH(F177,МДМ!$A:$A,0),0)=0,"Не установлено","Установлено")</f>
        <v>Не установлено</v>
      </c>
      <c r="H177" s="27" t="s">
        <v>189</v>
      </c>
      <c r="I177" s="27" t="s">
        <v>190</v>
      </c>
    </row>
    <row r="178" spans="1:11" ht="15" customHeight="1" x14ac:dyDescent="0.25">
      <c r="A178" s="1">
        <v>177</v>
      </c>
      <c r="B178" s="7" t="s">
        <v>42</v>
      </c>
      <c r="C178" s="13" t="s">
        <v>178</v>
      </c>
      <c r="D178" s="14" t="s">
        <v>191</v>
      </c>
      <c r="E178" s="26" t="s">
        <v>192</v>
      </c>
      <c r="F178" s="25">
        <v>358205083574296</v>
      </c>
      <c r="G178" s="11" t="str">
        <f>IF(IFERROR(MATCH(F178,МДМ!$A:$A,0),0)=0,"Не установлено","Установлено")</f>
        <v>Не установлено</v>
      </c>
    </row>
    <row r="179" spans="1:11" ht="15" customHeight="1" x14ac:dyDescent="0.25">
      <c r="A179" s="1">
        <v>178</v>
      </c>
      <c r="B179" s="7" t="s">
        <v>42</v>
      </c>
      <c r="C179" s="8" t="s">
        <v>193</v>
      </c>
      <c r="D179" s="7" t="s">
        <v>194</v>
      </c>
      <c r="E179" s="29" t="s">
        <v>195</v>
      </c>
      <c r="F179" s="18">
        <v>358205080899886</v>
      </c>
      <c r="G179" s="11" t="str">
        <f>IF(IFERROR(MATCH(F179,МДМ!$A:$A,0),0)=0,"Не установлено","Установлено")</f>
        <v>Не установлено</v>
      </c>
      <c r="H179" s="1" t="s">
        <v>196</v>
      </c>
      <c r="I179" s="1" t="s">
        <v>197</v>
      </c>
      <c r="J179" s="1" t="s">
        <v>198</v>
      </c>
      <c r="K179" s="1">
        <v>89120157358</v>
      </c>
    </row>
    <row r="180" spans="1:11" ht="15" customHeight="1" x14ac:dyDescent="0.25">
      <c r="A180" s="1">
        <v>179</v>
      </c>
      <c r="B180" s="7" t="s">
        <v>42</v>
      </c>
      <c r="C180" s="8" t="s">
        <v>193</v>
      </c>
      <c r="D180" s="7" t="s">
        <v>194</v>
      </c>
      <c r="E180" s="29" t="s">
        <v>195</v>
      </c>
      <c r="F180" s="10">
        <v>358205080899696</v>
      </c>
      <c r="G180" s="11" t="str">
        <f>IF(IFERROR(MATCH(F180,МДМ!$A:$A,0),0)=0,"Не установлено","Установлено")</f>
        <v>Установлено</v>
      </c>
      <c r="H180" s="1" t="s">
        <v>196</v>
      </c>
      <c r="I180" s="1" t="s">
        <v>197</v>
      </c>
      <c r="J180" s="1" t="s">
        <v>198</v>
      </c>
      <c r="K180" s="1">
        <v>89120157358</v>
      </c>
    </row>
    <row r="181" spans="1:11" ht="15" customHeight="1" x14ac:dyDescent="0.25">
      <c r="A181" s="1">
        <v>180</v>
      </c>
      <c r="B181" s="7" t="s">
        <v>42</v>
      </c>
      <c r="C181" s="8" t="s">
        <v>193</v>
      </c>
      <c r="D181" s="7" t="s">
        <v>199</v>
      </c>
      <c r="E181" s="24">
        <v>79120126921</v>
      </c>
      <c r="F181" s="10">
        <v>358205080890349</v>
      </c>
      <c r="G181" s="11" t="str">
        <f>IF(IFERROR(MATCH(F181,МДМ!$A:$A,0),0)=0,"Не установлено","Установлено")</f>
        <v>Не установлено</v>
      </c>
      <c r="H181" s="1" t="s">
        <v>200</v>
      </c>
      <c r="I181" s="1" t="s">
        <v>201</v>
      </c>
      <c r="K181" s="1">
        <v>89124515055</v>
      </c>
    </row>
    <row r="182" spans="1:11" ht="15" customHeight="1" x14ac:dyDescent="0.25">
      <c r="A182" s="1">
        <v>181</v>
      </c>
      <c r="B182" s="7" t="s">
        <v>42</v>
      </c>
      <c r="C182" s="8" t="s">
        <v>193</v>
      </c>
      <c r="D182" s="7" t="s">
        <v>202</v>
      </c>
      <c r="E182" s="30" t="s">
        <v>203</v>
      </c>
      <c r="F182" s="10">
        <v>358205083574569</v>
      </c>
      <c r="G182" s="11" t="str">
        <f>IF(IFERROR(MATCH(F182,МДМ!$A:$A,0),0)=0,"Не установлено","Установлено")</f>
        <v>Установлено</v>
      </c>
      <c r="H182" s="1" t="s">
        <v>204</v>
      </c>
      <c r="I182" s="1" t="s">
        <v>205</v>
      </c>
      <c r="J182" s="31" t="s">
        <v>206</v>
      </c>
      <c r="K182" s="1" t="s">
        <v>207</v>
      </c>
    </row>
    <row r="183" spans="1:11" ht="15" customHeight="1" x14ac:dyDescent="0.25">
      <c r="A183" s="1">
        <v>182</v>
      </c>
      <c r="B183" s="7" t="s">
        <v>42</v>
      </c>
      <c r="C183" s="8" t="s">
        <v>193</v>
      </c>
      <c r="D183" s="7" t="s">
        <v>208</v>
      </c>
      <c r="E183" s="29" t="s">
        <v>209</v>
      </c>
      <c r="F183" s="10">
        <v>358205080890604</v>
      </c>
      <c r="G183" s="11" t="str">
        <f>IF(IFERROR(MATCH(F183,МДМ!$A:$A,0),0)=0,"Не установлено","Установлено")</f>
        <v>Не установлено</v>
      </c>
      <c r="H183" s="1" t="s">
        <v>210</v>
      </c>
      <c r="I183" s="1" t="s">
        <v>211</v>
      </c>
    </row>
    <row r="184" spans="1:11" ht="15" customHeight="1" x14ac:dyDescent="0.25">
      <c r="A184" s="1">
        <v>183</v>
      </c>
      <c r="B184" s="7" t="s">
        <v>42</v>
      </c>
      <c r="C184" s="8" t="s">
        <v>193</v>
      </c>
      <c r="D184" s="7" t="s">
        <v>208</v>
      </c>
      <c r="E184" s="29" t="s">
        <v>209</v>
      </c>
      <c r="F184" s="10">
        <v>358205080890687</v>
      </c>
      <c r="G184" s="11" t="str">
        <f>IF(IFERROR(MATCH(F184,МДМ!$A:$A,0),0)=0,"Не установлено","Установлено")</f>
        <v>Не установлено</v>
      </c>
    </row>
    <row r="185" spans="1:11" ht="15" customHeight="1" x14ac:dyDescent="0.25">
      <c r="A185" s="1">
        <v>184</v>
      </c>
      <c r="B185" s="7" t="s">
        <v>9</v>
      </c>
      <c r="C185" s="8" t="s">
        <v>212</v>
      </c>
      <c r="D185" s="7" t="s">
        <v>213</v>
      </c>
      <c r="E185" s="29" t="s">
        <v>214</v>
      </c>
      <c r="F185" s="10">
        <v>358205080845590</v>
      </c>
      <c r="G185" s="11" t="str">
        <f>IF(IFERROR(MATCH(F185,МДМ!$A:$A,0),0)=0,"Не установлено","Установлено")</f>
        <v>Не установлено</v>
      </c>
      <c r="H185" s="1" t="s">
        <v>305</v>
      </c>
      <c r="I185" s="1">
        <v>9100788251</v>
      </c>
    </row>
    <row r="186" spans="1:11" ht="15" customHeight="1" x14ac:dyDescent="0.25">
      <c r="A186" s="1">
        <v>185</v>
      </c>
      <c r="B186" s="7" t="s">
        <v>9</v>
      </c>
      <c r="C186" s="8" t="s">
        <v>212</v>
      </c>
      <c r="D186" s="7" t="s">
        <v>213</v>
      </c>
      <c r="E186" s="29" t="s">
        <v>214</v>
      </c>
      <c r="F186" s="10">
        <v>358205080903951</v>
      </c>
      <c r="G186" s="11" t="str">
        <f>IF(IFERROR(MATCH(F186,МДМ!$A:$A,0),0)=0,"Не установлено","Установлено")</f>
        <v>Не установлено</v>
      </c>
      <c r="H186" s="1" t="s">
        <v>305</v>
      </c>
      <c r="I186" s="1">
        <v>9100788251</v>
      </c>
    </row>
    <row r="187" spans="1:11" ht="15" customHeight="1" x14ac:dyDescent="0.25">
      <c r="A187" s="1">
        <v>186</v>
      </c>
      <c r="B187" s="7" t="s">
        <v>9</v>
      </c>
      <c r="C187" s="8" t="s">
        <v>212</v>
      </c>
      <c r="D187" s="7" t="s">
        <v>215</v>
      </c>
      <c r="E187" s="29" t="s">
        <v>216</v>
      </c>
      <c r="F187" s="10">
        <v>358205080846044</v>
      </c>
      <c r="G187" s="11" t="str">
        <f>IF(IFERROR(MATCH(F187,МДМ!$A:$A,0),0)=0,"Не установлено","Установлено")</f>
        <v>Не установлено</v>
      </c>
    </row>
    <row r="188" spans="1:11" ht="15" customHeight="1" x14ac:dyDescent="0.25">
      <c r="A188" s="1">
        <v>187</v>
      </c>
      <c r="B188" s="7" t="s">
        <v>9</v>
      </c>
      <c r="C188" s="8" t="s">
        <v>212</v>
      </c>
      <c r="D188" s="7" t="s">
        <v>215</v>
      </c>
      <c r="E188" s="29" t="s">
        <v>216</v>
      </c>
      <c r="F188" s="10">
        <v>358205080846150</v>
      </c>
      <c r="G188" s="11" t="str">
        <f>IF(IFERROR(MATCH(F188,МДМ!$A:$A,0),0)=0,"Не установлено","Установлено")</f>
        <v>Установлено</v>
      </c>
    </row>
    <row r="189" spans="1:11" ht="15" customHeight="1" x14ac:dyDescent="0.25">
      <c r="A189" s="1">
        <v>188</v>
      </c>
      <c r="B189" s="7" t="s">
        <v>9</v>
      </c>
      <c r="C189" s="8" t="s">
        <v>212</v>
      </c>
      <c r="D189" s="7" t="s">
        <v>215</v>
      </c>
      <c r="E189" s="29" t="s">
        <v>216</v>
      </c>
      <c r="F189" s="10">
        <v>358205080847075</v>
      </c>
      <c r="G189" s="11" t="str">
        <f>IF(IFERROR(MATCH(F189,МДМ!$A:$A,0),0)=0,"Не установлено","Установлено")</f>
        <v>Не установлено</v>
      </c>
    </row>
    <row r="190" spans="1:11" ht="15" customHeight="1" x14ac:dyDescent="0.25">
      <c r="A190" s="1">
        <v>189</v>
      </c>
      <c r="B190" s="7" t="s">
        <v>9</v>
      </c>
      <c r="C190" s="8" t="s">
        <v>212</v>
      </c>
      <c r="D190" s="7" t="s">
        <v>215</v>
      </c>
      <c r="E190" s="29" t="s">
        <v>216</v>
      </c>
      <c r="F190" s="10">
        <v>358205080847117</v>
      </c>
      <c r="G190" s="11" t="str">
        <f>IF(IFERROR(MATCH(F190,МДМ!$A:$A,0),0)=0,"Не установлено","Установлено")</f>
        <v>Установлено</v>
      </c>
    </row>
    <row r="191" spans="1:11" ht="15" customHeight="1" x14ac:dyDescent="0.25">
      <c r="A191" s="1">
        <v>190</v>
      </c>
      <c r="B191" s="7" t="s">
        <v>9</v>
      </c>
      <c r="C191" s="8" t="s">
        <v>212</v>
      </c>
      <c r="D191" s="7" t="s">
        <v>215</v>
      </c>
      <c r="E191" s="29" t="s">
        <v>216</v>
      </c>
      <c r="F191" s="10">
        <v>358205080902912</v>
      </c>
      <c r="G191" s="11" t="str">
        <f>IF(IFERROR(MATCH(F191,МДМ!$A:$A,0),0)=0,"Не установлено","Установлено")</f>
        <v>Установлено</v>
      </c>
    </row>
    <row r="192" spans="1:11" ht="15" customHeight="1" x14ac:dyDescent="0.25">
      <c r="A192" s="1">
        <v>191</v>
      </c>
      <c r="B192" s="7" t="s">
        <v>9</v>
      </c>
      <c r="C192" s="8" t="s">
        <v>212</v>
      </c>
      <c r="D192" s="7" t="s">
        <v>215</v>
      </c>
      <c r="E192" s="29" t="s">
        <v>216</v>
      </c>
      <c r="F192" s="10">
        <v>358205080902946</v>
      </c>
      <c r="G192" s="11" t="str">
        <f>IF(IFERROR(MATCH(F192,МДМ!$A:$A,0),0)=0,"Не установлено","Установлено")</f>
        <v>Установлено</v>
      </c>
    </row>
    <row r="193" spans="1:9" ht="15" customHeight="1" x14ac:dyDescent="0.25">
      <c r="A193" s="1">
        <v>192</v>
      </c>
      <c r="B193" s="7" t="s">
        <v>9</v>
      </c>
      <c r="C193" s="8" t="s">
        <v>212</v>
      </c>
      <c r="D193" s="7" t="s">
        <v>217</v>
      </c>
      <c r="E193" s="29" t="s">
        <v>218</v>
      </c>
      <c r="F193" s="10">
        <v>350675293258526</v>
      </c>
      <c r="G193" s="11" t="str">
        <f>IF(IFERROR(MATCH(F193,МДМ!$A:$A,0),0)=0,"Не установлено","Установлено")</f>
        <v>Не установлено</v>
      </c>
      <c r="H193" s="1" t="s">
        <v>306</v>
      </c>
      <c r="I193" s="1">
        <v>9807091101</v>
      </c>
    </row>
    <row r="194" spans="1:9" ht="15" customHeight="1" x14ac:dyDescent="0.25">
      <c r="A194" s="1">
        <v>193</v>
      </c>
      <c r="B194" s="7" t="s">
        <v>9</v>
      </c>
      <c r="C194" s="8" t="s">
        <v>212</v>
      </c>
      <c r="D194" s="7" t="s">
        <v>217</v>
      </c>
      <c r="E194" s="29" t="s">
        <v>218</v>
      </c>
      <c r="F194" s="10">
        <v>350675293248774</v>
      </c>
      <c r="G194" s="11" t="str">
        <f>IF(IFERROR(MATCH(F194,МДМ!$A:$A,0),0)=0,"Не установлено","Установлено")</f>
        <v>Не установлено</v>
      </c>
      <c r="H194" s="1" t="s">
        <v>306</v>
      </c>
      <c r="I194" s="1">
        <v>9807091101</v>
      </c>
    </row>
    <row r="195" spans="1:9" ht="15" customHeight="1" x14ac:dyDescent="0.25">
      <c r="A195" s="1">
        <v>194</v>
      </c>
      <c r="B195" s="7" t="s">
        <v>9</v>
      </c>
      <c r="C195" s="13" t="s">
        <v>212</v>
      </c>
      <c r="D195" s="14" t="s">
        <v>219</v>
      </c>
      <c r="E195" s="32" t="s">
        <v>220</v>
      </c>
      <c r="F195" s="10">
        <v>358205080846614</v>
      </c>
      <c r="G195" s="11" t="str">
        <f>IF(IFERROR(MATCH(F195,МДМ!$A:$A,0),0)=0,"Не установлено","Установлено")</f>
        <v>Установлено</v>
      </c>
      <c r="H195" s="1" t="s">
        <v>307</v>
      </c>
    </row>
    <row r="196" spans="1:9" ht="15" customHeight="1" x14ac:dyDescent="0.25">
      <c r="A196" s="1">
        <v>195</v>
      </c>
      <c r="B196" s="7" t="s">
        <v>9</v>
      </c>
      <c r="C196" s="13" t="s">
        <v>212</v>
      </c>
      <c r="D196" s="14" t="s">
        <v>219</v>
      </c>
      <c r="E196" s="32" t="s">
        <v>220</v>
      </c>
      <c r="F196" s="10">
        <v>358205080846655</v>
      </c>
      <c r="G196" s="11" t="str">
        <f>IF(IFERROR(MATCH(F196,МДМ!$A:$A,0),0)=0,"Не установлено","Установлено")</f>
        <v>Установлено</v>
      </c>
      <c r="H196" s="1" t="s">
        <v>307</v>
      </c>
    </row>
    <row r="197" spans="1:9" ht="15" customHeight="1" x14ac:dyDescent="0.25">
      <c r="A197" s="1">
        <v>196</v>
      </c>
      <c r="B197" s="7" t="s">
        <v>9</v>
      </c>
      <c r="C197" s="13" t="s">
        <v>212</v>
      </c>
      <c r="D197" s="14" t="s">
        <v>219</v>
      </c>
      <c r="E197" s="32" t="s">
        <v>220</v>
      </c>
      <c r="F197" s="10">
        <v>358205080888871</v>
      </c>
      <c r="G197" s="11" t="str">
        <f>IF(IFERROR(MATCH(F197,МДМ!$A:$A,0),0)=0,"Не установлено","Установлено")</f>
        <v>Установлено</v>
      </c>
      <c r="H197" s="1" t="s">
        <v>307</v>
      </c>
    </row>
    <row r="198" spans="1:9" ht="15" customHeight="1" x14ac:dyDescent="0.25">
      <c r="A198" s="1">
        <v>197</v>
      </c>
      <c r="B198" s="7" t="s">
        <v>9</v>
      </c>
      <c r="C198" s="13" t="s">
        <v>212</v>
      </c>
      <c r="D198" s="14" t="s">
        <v>219</v>
      </c>
      <c r="E198" s="32" t="s">
        <v>220</v>
      </c>
      <c r="F198" s="10">
        <v>358205080888913</v>
      </c>
      <c r="G198" s="11" t="str">
        <f>IF(IFERROR(MATCH(F198,МДМ!$A:$A,0),0)=0,"Не установлено","Установлено")</f>
        <v>Установлено</v>
      </c>
      <c r="H198" s="1" t="s">
        <v>307</v>
      </c>
    </row>
    <row r="199" spans="1:9" ht="15" customHeight="1" x14ac:dyDescent="0.25">
      <c r="A199" s="1">
        <v>198</v>
      </c>
      <c r="B199" s="7" t="s">
        <v>9</v>
      </c>
      <c r="C199" s="13" t="s">
        <v>212</v>
      </c>
      <c r="D199" s="14" t="s">
        <v>219</v>
      </c>
      <c r="E199" s="32" t="s">
        <v>220</v>
      </c>
      <c r="F199" s="10">
        <v>358205080903738</v>
      </c>
      <c r="G199" s="11" t="str">
        <f>IF(IFERROR(MATCH(F199,МДМ!$A:$A,0),0)=0,"Не установлено","Установлено")</f>
        <v>Установлено</v>
      </c>
      <c r="H199" s="1" t="s">
        <v>307</v>
      </c>
    </row>
    <row r="200" spans="1:9" ht="15" customHeight="1" x14ac:dyDescent="0.25">
      <c r="A200" s="1">
        <v>199</v>
      </c>
      <c r="B200" s="7" t="s">
        <v>9</v>
      </c>
      <c r="C200" s="13" t="s">
        <v>212</v>
      </c>
      <c r="D200" s="14" t="s">
        <v>219</v>
      </c>
      <c r="E200" s="32" t="s">
        <v>220</v>
      </c>
      <c r="F200" s="10">
        <v>350675293247404</v>
      </c>
      <c r="G200" s="11" t="str">
        <f>IF(IFERROR(MATCH(F200,МДМ!$A:$A,0),0)=0,"Не установлено","Установлено")</f>
        <v>Не установлено</v>
      </c>
      <c r="H200" s="1" t="s">
        <v>307</v>
      </c>
    </row>
    <row r="201" spans="1:9" ht="15" customHeight="1" x14ac:dyDescent="0.25">
      <c r="A201" s="1">
        <v>200</v>
      </c>
      <c r="B201" s="7" t="s">
        <v>9</v>
      </c>
      <c r="C201" s="13" t="s">
        <v>212</v>
      </c>
      <c r="D201" s="14" t="s">
        <v>219</v>
      </c>
      <c r="E201" s="32" t="s">
        <v>220</v>
      </c>
      <c r="F201" s="10">
        <v>350675293256546</v>
      </c>
      <c r="G201" s="11" t="str">
        <f>IF(IFERROR(MATCH(F201,МДМ!$A:$A,0),0)=0,"Не установлено","Установлено")</f>
        <v>Не установлено</v>
      </c>
      <c r="H201" s="1" t="s">
        <v>307</v>
      </c>
    </row>
    <row r="204" spans="1:9" x14ac:dyDescent="0.25">
      <c r="E204" s="33"/>
    </row>
    <row r="205" spans="1:9" x14ac:dyDescent="0.25">
      <c r="E205" s="34"/>
    </row>
    <row r="206" spans="1:9" x14ac:dyDescent="0.25">
      <c r="E206" s="35"/>
    </row>
    <row r="207" spans="1:9" x14ac:dyDescent="0.25">
      <c r="E207" s="36"/>
    </row>
    <row r="208" spans="1:9" ht="14.4" x14ac:dyDescent="0.3">
      <c r="D208"/>
    </row>
    <row r="209" spans="4:4" ht="14.4" x14ac:dyDescent="0.3">
      <c r="D209"/>
    </row>
    <row r="210" spans="4:4" ht="14.4" x14ac:dyDescent="0.3">
      <c r="D210"/>
    </row>
    <row r="211" spans="4:4" ht="14.4" x14ac:dyDescent="0.3">
      <c r="D211"/>
    </row>
    <row r="212" spans="4:4" ht="14.4" x14ac:dyDescent="0.3">
      <c r="D212"/>
    </row>
    <row r="213" spans="4:4" ht="14.4" x14ac:dyDescent="0.3">
      <c r="D213"/>
    </row>
    <row r="214" spans="4:4" ht="14.4" x14ac:dyDescent="0.3">
      <c r="D214"/>
    </row>
    <row r="215" spans="4:4" ht="14.4" x14ac:dyDescent="0.3">
      <c r="D215"/>
    </row>
    <row r="216" spans="4:4" ht="14.4" x14ac:dyDescent="0.3">
      <c r="D216"/>
    </row>
    <row r="217" spans="4:4" ht="14.4" x14ac:dyDescent="0.3">
      <c r="D217"/>
    </row>
  </sheetData>
  <autoFilter ref="A1:K201">
    <sortState ref="A2:O192">
      <sortCondition ref="A1:A201"/>
    </sortState>
  </autoFilter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C691"/>
  <sheetViews>
    <sheetView workbookViewId="0">
      <selection activeCell="A558" sqref="A558"/>
    </sheetView>
  </sheetViews>
  <sheetFormatPr defaultRowHeight="14.4" x14ac:dyDescent="0.3"/>
  <cols>
    <col min="1" max="1" width="18.33203125" customWidth="1"/>
    <col min="2" max="2" width="16" bestFit="1" customWidth="1"/>
    <col min="3" max="3" width="16.6640625" bestFit="1" customWidth="1"/>
  </cols>
  <sheetData>
    <row r="1" spans="1:3" x14ac:dyDescent="0.3">
      <c r="A1" s="37" t="s">
        <v>4</v>
      </c>
      <c r="B1" s="38" t="s">
        <v>221</v>
      </c>
      <c r="C1" s="39" t="s">
        <v>1</v>
      </c>
    </row>
    <row r="2" spans="1:3" x14ac:dyDescent="0.3">
      <c r="A2" s="40">
        <v>358205084170847</v>
      </c>
      <c r="B2" s="41">
        <v>45335.332048611112</v>
      </c>
      <c r="C2" s="42" t="s">
        <v>178</v>
      </c>
    </row>
    <row r="3" spans="1:3" x14ac:dyDescent="0.3">
      <c r="A3" s="43">
        <v>358205083587272</v>
      </c>
      <c r="B3" s="44">
        <v>45336.211909722224</v>
      </c>
      <c r="C3" s="45" t="s">
        <v>111</v>
      </c>
    </row>
    <row r="4" spans="1:3" x14ac:dyDescent="0.3">
      <c r="A4" s="40">
        <v>358205083588205</v>
      </c>
      <c r="B4" s="41">
        <v>45336.224675925929</v>
      </c>
      <c r="C4" s="42" t="s">
        <v>119</v>
      </c>
    </row>
    <row r="5" spans="1:3" x14ac:dyDescent="0.3">
      <c r="A5" s="43">
        <v>358205084539561</v>
      </c>
      <c r="B5" s="44">
        <v>45338.495104166665</v>
      </c>
      <c r="C5" s="45" t="s">
        <v>10</v>
      </c>
    </row>
    <row r="6" spans="1:3" x14ac:dyDescent="0.3">
      <c r="A6" s="40">
        <v>358205086912733</v>
      </c>
      <c r="B6" s="41">
        <v>45335.714259259257</v>
      </c>
      <c r="C6" s="42" t="s">
        <v>10</v>
      </c>
    </row>
    <row r="7" spans="1:3" x14ac:dyDescent="0.3">
      <c r="A7" s="43">
        <v>358205080899183</v>
      </c>
      <c r="B7" s="44">
        <v>45335.359918981485</v>
      </c>
      <c r="C7" s="45" t="s">
        <v>76</v>
      </c>
    </row>
    <row r="8" spans="1:3" x14ac:dyDescent="0.3">
      <c r="A8" s="40">
        <v>358205080900163</v>
      </c>
      <c r="B8" s="41">
        <v>45337.40865740741</v>
      </c>
      <c r="C8" s="42" t="s">
        <v>76</v>
      </c>
    </row>
    <row r="9" spans="1:3" x14ac:dyDescent="0.3">
      <c r="A9" s="43">
        <v>358205080890471</v>
      </c>
      <c r="B9" s="44">
        <v>45335.26053240741</v>
      </c>
      <c r="C9" s="45" t="s">
        <v>193</v>
      </c>
    </row>
    <row r="10" spans="1:3" x14ac:dyDescent="0.3">
      <c r="A10" s="40">
        <v>358205080902987</v>
      </c>
      <c r="B10" s="41">
        <v>45335.468738425923</v>
      </c>
      <c r="C10" s="42" t="s">
        <v>149</v>
      </c>
    </row>
    <row r="11" spans="1:3" x14ac:dyDescent="0.3">
      <c r="A11" s="43">
        <v>358205080904546</v>
      </c>
      <c r="B11" s="44">
        <v>45335.468252314815</v>
      </c>
      <c r="C11" s="45" t="s">
        <v>222</v>
      </c>
    </row>
    <row r="12" spans="1:3" x14ac:dyDescent="0.3">
      <c r="A12" s="40">
        <v>358205083587207</v>
      </c>
      <c r="B12" s="41">
        <v>45336.218900462962</v>
      </c>
      <c r="C12" s="42" t="s">
        <v>178</v>
      </c>
    </row>
    <row r="13" spans="1:3" x14ac:dyDescent="0.3">
      <c r="A13" s="43">
        <v>358205080890364</v>
      </c>
      <c r="B13" s="44">
        <v>45338.499618055554</v>
      </c>
      <c r="C13" s="45" t="s">
        <v>222</v>
      </c>
    </row>
    <row r="14" spans="1:3" x14ac:dyDescent="0.3">
      <c r="A14" s="40">
        <v>358205080908935</v>
      </c>
      <c r="B14" s="41">
        <v>45337.226076388892</v>
      </c>
      <c r="C14" s="42" t="s">
        <v>89</v>
      </c>
    </row>
    <row r="15" spans="1:3" x14ac:dyDescent="0.3">
      <c r="A15" s="43">
        <v>358205080845657</v>
      </c>
      <c r="B15" s="44">
        <v>45336.422442129631</v>
      </c>
      <c r="C15" s="45" t="s">
        <v>149</v>
      </c>
    </row>
    <row r="16" spans="1:3" x14ac:dyDescent="0.3">
      <c r="A16" s="40">
        <v>358205080845707</v>
      </c>
      <c r="B16" s="41">
        <v>45338.500034722223</v>
      </c>
      <c r="C16" s="42" t="s">
        <v>149</v>
      </c>
    </row>
    <row r="17" spans="1:3" x14ac:dyDescent="0.3">
      <c r="A17" s="43">
        <v>358205080845806</v>
      </c>
      <c r="B17" s="44">
        <v>45338.499618055554</v>
      </c>
      <c r="C17" s="45" t="s">
        <v>149</v>
      </c>
    </row>
    <row r="18" spans="1:3" x14ac:dyDescent="0.3">
      <c r="A18" s="40">
        <v>358205080845822</v>
      </c>
      <c r="B18" s="41">
        <v>45336.261736111112</v>
      </c>
      <c r="C18" s="42" t="s">
        <v>149</v>
      </c>
    </row>
    <row r="19" spans="1:3" x14ac:dyDescent="0.3">
      <c r="A19" s="43">
        <v>358205080845863</v>
      </c>
      <c r="B19" s="44">
        <v>45336.545798611114</v>
      </c>
      <c r="C19" s="45" t="s">
        <v>149</v>
      </c>
    </row>
    <row r="20" spans="1:3" x14ac:dyDescent="0.3">
      <c r="A20" s="40">
        <v>358205080845871</v>
      </c>
      <c r="B20" s="41">
        <v>45338.228773148148</v>
      </c>
      <c r="C20" s="42" t="s">
        <v>149</v>
      </c>
    </row>
    <row r="21" spans="1:3" x14ac:dyDescent="0.3">
      <c r="A21" s="43">
        <v>358205080846002</v>
      </c>
      <c r="B21" s="44">
        <v>45338.500254629631</v>
      </c>
      <c r="C21" s="45" t="s">
        <v>149</v>
      </c>
    </row>
    <row r="22" spans="1:3" x14ac:dyDescent="0.3">
      <c r="A22" s="40">
        <v>358205080846010</v>
      </c>
      <c r="B22" s="41">
        <v>45338.4997337963</v>
      </c>
      <c r="C22" s="42" t="s">
        <v>149</v>
      </c>
    </row>
    <row r="23" spans="1:3" x14ac:dyDescent="0.3">
      <c r="A23" s="43">
        <v>358205080846101</v>
      </c>
      <c r="B23" s="44">
        <v>45338.499826388892</v>
      </c>
      <c r="C23" s="45" t="s">
        <v>125</v>
      </c>
    </row>
    <row r="24" spans="1:3" x14ac:dyDescent="0.3">
      <c r="A24" s="40">
        <v>358205080846135</v>
      </c>
      <c r="B24" s="41">
        <v>45338.499641203707</v>
      </c>
      <c r="C24" s="42" t="s">
        <v>125</v>
      </c>
    </row>
    <row r="25" spans="1:3" x14ac:dyDescent="0.3">
      <c r="A25" s="43">
        <v>358205080846143</v>
      </c>
      <c r="B25" s="44">
        <v>45338.500219907408</v>
      </c>
      <c r="C25" s="45" t="s">
        <v>125</v>
      </c>
    </row>
    <row r="26" spans="1:3" x14ac:dyDescent="0.3">
      <c r="A26" s="40">
        <v>358205080846283</v>
      </c>
      <c r="B26" s="41">
        <v>45338.500289351854</v>
      </c>
      <c r="C26" s="42" t="s">
        <v>125</v>
      </c>
    </row>
    <row r="27" spans="1:3" x14ac:dyDescent="0.3">
      <c r="A27" s="43">
        <v>358205080846291</v>
      </c>
      <c r="B27" s="44">
        <v>45338.499907407408</v>
      </c>
      <c r="C27" s="45" t="s">
        <v>125</v>
      </c>
    </row>
    <row r="28" spans="1:3" x14ac:dyDescent="0.3">
      <c r="A28" s="40">
        <v>358205080846374</v>
      </c>
      <c r="B28" s="41">
        <v>45338.500219907408</v>
      </c>
      <c r="C28" s="42" t="s">
        <v>125</v>
      </c>
    </row>
    <row r="29" spans="1:3" x14ac:dyDescent="0.3">
      <c r="A29" s="43">
        <v>358205080847109</v>
      </c>
      <c r="B29" s="44">
        <v>45338.500104166669</v>
      </c>
      <c r="C29" s="45" t="s">
        <v>149</v>
      </c>
    </row>
    <row r="30" spans="1:3" x14ac:dyDescent="0.3">
      <c r="A30" s="40">
        <v>358205080847299</v>
      </c>
      <c r="B30" s="41">
        <v>45338.499641203707</v>
      </c>
      <c r="C30" s="42" t="s">
        <v>149</v>
      </c>
    </row>
    <row r="31" spans="1:3" x14ac:dyDescent="0.3">
      <c r="A31" s="43">
        <v>358205080847364</v>
      </c>
      <c r="B31" s="44">
        <v>45338.499849537038</v>
      </c>
      <c r="C31" s="45" t="s">
        <v>178</v>
      </c>
    </row>
    <row r="32" spans="1:3" x14ac:dyDescent="0.3">
      <c r="A32" s="40">
        <v>358205080871646</v>
      </c>
      <c r="B32" s="41">
        <v>45337.586099537039</v>
      </c>
      <c r="C32" s="42" t="s">
        <v>223</v>
      </c>
    </row>
    <row r="33" spans="1:3" x14ac:dyDescent="0.3">
      <c r="A33" s="43">
        <v>358205080871661</v>
      </c>
      <c r="B33" s="44">
        <v>45336.312407407408</v>
      </c>
      <c r="C33" s="45" t="s">
        <v>223</v>
      </c>
    </row>
    <row r="34" spans="1:3" x14ac:dyDescent="0.3">
      <c r="A34" s="40">
        <v>358205080871687</v>
      </c>
      <c r="B34" s="41">
        <v>45338.5003125</v>
      </c>
      <c r="C34" s="42" t="s">
        <v>125</v>
      </c>
    </row>
    <row r="35" spans="1:3" x14ac:dyDescent="0.3">
      <c r="A35" s="43">
        <v>358205080871703</v>
      </c>
      <c r="B35" s="44">
        <v>45337.955578703702</v>
      </c>
      <c r="C35" s="45" t="s">
        <v>149</v>
      </c>
    </row>
    <row r="36" spans="1:3" x14ac:dyDescent="0.3">
      <c r="A36" s="40">
        <v>358205080871760</v>
      </c>
      <c r="B36" s="41">
        <v>45338.499710648146</v>
      </c>
      <c r="C36" s="42" t="s">
        <v>223</v>
      </c>
    </row>
    <row r="37" spans="1:3" x14ac:dyDescent="0.3">
      <c r="A37" s="43">
        <v>358205080871810</v>
      </c>
      <c r="B37" s="44">
        <v>45338.49962962963</v>
      </c>
      <c r="C37" s="45" t="s">
        <v>223</v>
      </c>
    </row>
    <row r="38" spans="1:3" x14ac:dyDescent="0.3">
      <c r="A38" s="40">
        <v>358205080871836</v>
      </c>
      <c r="B38" s="41">
        <v>45338.500081018516</v>
      </c>
      <c r="C38" s="42" t="s">
        <v>223</v>
      </c>
    </row>
    <row r="39" spans="1:3" x14ac:dyDescent="0.3">
      <c r="A39" s="43">
        <v>358205080871844</v>
      </c>
      <c r="B39" s="44">
        <v>45336.222384259258</v>
      </c>
      <c r="C39" s="45" t="s">
        <v>223</v>
      </c>
    </row>
    <row r="40" spans="1:3" x14ac:dyDescent="0.3">
      <c r="A40" s="40">
        <v>358205080871869</v>
      </c>
      <c r="B40" s="41">
        <v>45338.499837962961</v>
      </c>
      <c r="C40" s="42" t="s">
        <v>223</v>
      </c>
    </row>
    <row r="41" spans="1:3" x14ac:dyDescent="0.3">
      <c r="A41" s="43">
        <v>358205080871893</v>
      </c>
      <c r="B41" s="44">
        <v>45335.8125462963</v>
      </c>
      <c r="C41" s="45" t="s">
        <v>222</v>
      </c>
    </row>
    <row r="42" spans="1:3" x14ac:dyDescent="0.3">
      <c r="A42" s="40">
        <v>358205080872016</v>
      </c>
      <c r="B42" s="41">
        <v>45336.316469907404</v>
      </c>
      <c r="C42" s="42" t="s">
        <v>223</v>
      </c>
    </row>
    <row r="43" spans="1:3" x14ac:dyDescent="0.3">
      <c r="A43" s="43">
        <v>358205080883617</v>
      </c>
      <c r="B43" s="44">
        <v>45338.29414351852</v>
      </c>
      <c r="C43" s="45" t="s">
        <v>149</v>
      </c>
    </row>
    <row r="44" spans="1:3" x14ac:dyDescent="0.3">
      <c r="A44" s="40">
        <v>358205080883674</v>
      </c>
      <c r="B44" s="41">
        <v>45338.498148148145</v>
      </c>
      <c r="C44" s="42" t="s">
        <v>222</v>
      </c>
    </row>
    <row r="45" spans="1:3" x14ac:dyDescent="0.3">
      <c r="A45" s="43">
        <v>358205080883740</v>
      </c>
      <c r="B45" s="44">
        <v>45338.5</v>
      </c>
      <c r="C45" s="45" t="s">
        <v>223</v>
      </c>
    </row>
    <row r="46" spans="1:3" x14ac:dyDescent="0.3">
      <c r="A46" s="40">
        <v>358205080883757</v>
      </c>
      <c r="B46" s="41">
        <v>45337.582916666666</v>
      </c>
      <c r="C46" s="42" t="s">
        <v>223</v>
      </c>
    </row>
    <row r="47" spans="1:3" x14ac:dyDescent="0.3">
      <c r="A47" s="43">
        <v>358205080883765</v>
      </c>
      <c r="B47" s="44">
        <v>45337.417905092596</v>
      </c>
      <c r="C47" s="45" t="s">
        <v>223</v>
      </c>
    </row>
    <row r="48" spans="1:3" x14ac:dyDescent="0.3">
      <c r="A48" s="40">
        <v>358205080883781</v>
      </c>
      <c r="B48" s="41">
        <v>45336.55505787037</v>
      </c>
      <c r="C48" s="42" t="s">
        <v>223</v>
      </c>
    </row>
    <row r="49" spans="1:3" x14ac:dyDescent="0.3">
      <c r="A49" s="43">
        <v>358205080883799</v>
      </c>
      <c r="B49" s="44">
        <v>45336.235474537039</v>
      </c>
      <c r="C49" s="45" t="s">
        <v>223</v>
      </c>
    </row>
    <row r="50" spans="1:3" x14ac:dyDescent="0.3">
      <c r="A50" s="40">
        <v>358205080883807</v>
      </c>
      <c r="B50" s="41">
        <v>45338.500150462962</v>
      </c>
      <c r="C50" s="42" t="s">
        <v>223</v>
      </c>
    </row>
    <row r="51" spans="1:3" x14ac:dyDescent="0.3">
      <c r="A51" s="43">
        <v>358205080883815</v>
      </c>
      <c r="B51" s="44">
        <v>45337.548414351855</v>
      </c>
      <c r="C51" s="45" t="s">
        <v>223</v>
      </c>
    </row>
    <row r="52" spans="1:3" x14ac:dyDescent="0.3">
      <c r="A52" s="40">
        <v>358205080883849</v>
      </c>
      <c r="B52" s="41">
        <v>45336.580937500003</v>
      </c>
      <c r="C52" s="42" t="s">
        <v>223</v>
      </c>
    </row>
    <row r="53" spans="1:3" x14ac:dyDescent="0.3">
      <c r="A53" s="43">
        <v>358205080883872</v>
      </c>
      <c r="B53" s="44">
        <v>45337.42082175926</v>
      </c>
      <c r="C53" s="45" t="s">
        <v>223</v>
      </c>
    </row>
    <row r="54" spans="1:3" x14ac:dyDescent="0.3">
      <c r="A54" s="40">
        <v>358205080883906</v>
      </c>
      <c r="B54" s="41">
        <v>45338.499988425923</v>
      </c>
      <c r="C54" s="42" t="s">
        <v>223</v>
      </c>
    </row>
    <row r="55" spans="1:3" x14ac:dyDescent="0.3">
      <c r="A55" s="43">
        <v>358205080883922</v>
      </c>
      <c r="B55" s="44">
        <v>45338.500127314815</v>
      </c>
      <c r="C55" s="45" t="s">
        <v>223</v>
      </c>
    </row>
    <row r="56" spans="1:3" x14ac:dyDescent="0.3">
      <c r="A56" s="40">
        <v>358205080888699</v>
      </c>
      <c r="B56" s="41">
        <v>45338.5</v>
      </c>
      <c r="C56" s="42" t="s">
        <v>223</v>
      </c>
    </row>
    <row r="57" spans="1:3" x14ac:dyDescent="0.3">
      <c r="A57" s="43">
        <v>358205080888707</v>
      </c>
      <c r="B57" s="44">
        <v>45338.500127314815</v>
      </c>
      <c r="C57" s="45" t="s">
        <v>223</v>
      </c>
    </row>
    <row r="58" spans="1:3" x14ac:dyDescent="0.3">
      <c r="A58" s="40">
        <v>358205080888723</v>
      </c>
      <c r="B58" s="41">
        <v>45336.261365740742</v>
      </c>
      <c r="C58" s="42" t="s">
        <v>223</v>
      </c>
    </row>
    <row r="59" spans="1:3" x14ac:dyDescent="0.3">
      <c r="A59" s="43">
        <v>358205080888731</v>
      </c>
      <c r="B59" s="44">
        <v>45338.4996875</v>
      </c>
      <c r="C59" s="45" t="s">
        <v>223</v>
      </c>
    </row>
    <row r="60" spans="1:3" x14ac:dyDescent="0.3">
      <c r="A60" s="40">
        <v>358205080888749</v>
      </c>
      <c r="B60" s="41">
        <v>45338.499826388892</v>
      </c>
      <c r="C60" s="42" t="s">
        <v>223</v>
      </c>
    </row>
    <row r="61" spans="1:3" x14ac:dyDescent="0.3">
      <c r="A61" s="43">
        <v>358205080888756</v>
      </c>
      <c r="B61" s="44">
        <v>45338.499699074076</v>
      </c>
      <c r="C61" s="45" t="s">
        <v>223</v>
      </c>
    </row>
    <row r="62" spans="1:3" x14ac:dyDescent="0.3">
      <c r="A62" s="40">
        <v>358205080888830</v>
      </c>
      <c r="B62" s="41">
        <v>45338.5</v>
      </c>
      <c r="C62" s="42" t="s">
        <v>222</v>
      </c>
    </row>
    <row r="63" spans="1:3" x14ac:dyDescent="0.3">
      <c r="A63" s="43">
        <v>358205080888863</v>
      </c>
      <c r="B63" s="44">
        <v>45336.287083333336</v>
      </c>
      <c r="C63" s="45" t="s">
        <v>223</v>
      </c>
    </row>
    <row r="64" spans="1:3" x14ac:dyDescent="0.3">
      <c r="A64" s="40">
        <v>358205080888889</v>
      </c>
      <c r="B64" s="41">
        <v>45338.499965277777</v>
      </c>
      <c r="C64" s="42" t="s">
        <v>222</v>
      </c>
    </row>
    <row r="65" spans="1:3" x14ac:dyDescent="0.3">
      <c r="A65" s="43">
        <v>358205080888897</v>
      </c>
      <c r="B65" s="44">
        <v>45336.524212962962</v>
      </c>
      <c r="C65" s="45" t="s">
        <v>223</v>
      </c>
    </row>
    <row r="66" spans="1:3" x14ac:dyDescent="0.3">
      <c r="A66" s="40">
        <v>358205080888905</v>
      </c>
      <c r="B66" s="41">
        <v>45338.262557870374</v>
      </c>
      <c r="C66" s="42" t="s">
        <v>223</v>
      </c>
    </row>
    <row r="67" spans="1:3" x14ac:dyDescent="0.3">
      <c r="A67" s="43">
        <v>358205080888939</v>
      </c>
      <c r="B67" s="44">
        <v>45336.324282407404</v>
      </c>
      <c r="C67" s="45" t="s">
        <v>222</v>
      </c>
    </row>
    <row r="68" spans="1:3" x14ac:dyDescent="0.3">
      <c r="A68" s="40">
        <v>358205080888947</v>
      </c>
      <c r="B68" s="41">
        <v>45338.499837962961</v>
      </c>
      <c r="C68" s="42" t="s">
        <v>223</v>
      </c>
    </row>
    <row r="69" spans="1:3" x14ac:dyDescent="0.3">
      <c r="A69" s="43">
        <v>358205080888954</v>
      </c>
      <c r="B69" s="44">
        <v>45338.500185185185</v>
      </c>
      <c r="C69" s="45" t="s">
        <v>193</v>
      </c>
    </row>
    <row r="70" spans="1:3" x14ac:dyDescent="0.3">
      <c r="A70" s="40">
        <v>358205080889010</v>
      </c>
      <c r="B70" s="41">
        <v>45336.50136574074</v>
      </c>
      <c r="C70" s="42" t="s">
        <v>193</v>
      </c>
    </row>
    <row r="71" spans="1:3" x14ac:dyDescent="0.3">
      <c r="A71" s="43">
        <v>358205080889085</v>
      </c>
      <c r="B71" s="44">
        <v>45336.501875000002</v>
      </c>
      <c r="C71" s="45" t="s">
        <v>193</v>
      </c>
    </row>
    <row r="72" spans="1:3" x14ac:dyDescent="0.3">
      <c r="A72" s="40">
        <v>358205080889168</v>
      </c>
      <c r="B72" s="41">
        <v>45338.4999537037</v>
      </c>
      <c r="C72" s="42" t="s">
        <v>89</v>
      </c>
    </row>
    <row r="73" spans="1:3" x14ac:dyDescent="0.3">
      <c r="A73" s="43">
        <v>358205080889374</v>
      </c>
      <c r="B73" s="44">
        <v>45336.225185185183</v>
      </c>
      <c r="C73" s="45" t="s">
        <v>193</v>
      </c>
    </row>
    <row r="74" spans="1:3" x14ac:dyDescent="0.3">
      <c r="A74" s="40">
        <v>358205080889465</v>
      </c>
      <c r="B74" s="41">
        <v>45338.499861111108</v>
      </c>
      <c r="C74" s="42" t="s">
        <v>89</v>
      </c>
    </row>
    <row r="75" spans="1:3" x14ac:dyDescent="0.3">
      <c r="A75" s="43">
        <v>358205080889556</v>
      </c>
      <c r="B75" s="44">
        <v>45336.843275462961</v>
      </c>
      <c r="C75" s="45" t="s">
        <v>193</v>
      </c>
    </row>
    <row r="76" spans="1:3" x14ac:dyDescent="0.3">
      <c r="A76" s="40">
        <v>358205080889564</v>
      </c>
      <c r="B76" s="41">
        <v>45337.52547453704</v>
      </c>
      <c r="C76" s="42" t="s">
        <v>223</v>
      </c>
    </row>
    <row r="77" spans="1:3" x14ac:dyDescent="0.3">
      <c r="A77" s="43">
        <v>358205080889572</v>
      </c>
      <c r="B77" s="44">
        <v>45338.028275462966</v>
      </c>
      <c r="C77" s="45" t="s">
        <v>222</v>
      </c>
    </row>
    <row r="78" spans="1:3" x14ac:dyDescent="0.3">
      <c r="A78" s="40">
        <v>358205080889606</v>
      </c>
      <c r="B78" s="41">
        <v>45338.49962962963</v>
      </c>
      <c r="C78" s="42" t="s">
        <v>222</v>
      </c>
    </row>
    <row r="79" spans="1:3" x14ac:dyDescent="0.3">
      <c r="A79" s="43">
        <v>358205080889614</v>
      </c>
      <c r="B79" s="44">
        <v>45338.499895833331</v>
      </c>
      <c r="C79" s="45" t="s">
        <v>223</v>
      </c>
    </row>
    <row r="80" spans="1:3" x14ac:dyDescent="0.3">
      <c r="A80" s="40">
        <v>358205080889622</v>
      </c>
      <c r="B80" s="41">
        <v>45337.428032407406</v>
      </c>
      <c r="C80" s="42" t="s">
        <v>223</v>
      </c>
    </row>
    <row r="81" spans="1:3" x14ac:dyDescent="0.3">
      <c r="A81" s="43">
        <v>358205080889655</v>
      </c>
      <c r="B81" s="44">
        <v>45336.308749999997</v>
      </c>
      <c r="C81" s="45" t="s">
        <v>223</v>
      </c>
    </row>
    <row r="82" spans="1:3" x14ac:dyDescent="0.3">
      <c r="A82" s="40">
        <v>358205080889689</v>
      </c>
      <c r="B82" s="41">
        <v>45336.308981481481</v>
      </c>
      <c r="C82" s="42" t="s">
        <v>223</v>
      </c>
    </row>
    <row r="83" spans="1:3" x14ac:dyDescent="0.3">
      <c r="A83" s="43">
        <v>358205080889705</v>
      </c>
      <c r="B83" s="44">
        <v>45336.280833333331</v>
      </c>
      <c r="C83" s="45" t="s">
        <v>223</v>
      </c>
    </row>
    <row r="84" spans="1:3" x14ac:dyDescent="0.3">
      <c r="A84" s="40">
        <v>358205080889747</v>
      </c>
      <c r="B84" s="41">
        <v>45338.500243055554</v>
      </c>
      <c r="C84" s="42" t="s">
        <v>89</v>
      </c>
    </row>
    <row r="85" spans="1:3" x14ac:dyDescent="0.3">
      <c r="A85" s="43">
        <v>358205080889762</v>
      </c>
      <c r="B85" s="44">
        <v>45336.582430555558</v>
      </c>
      <c r="C85" s="45" t="s">
        <v>223</v>
      </c>
    </row>
    <row r="86" spans="1:3" x14ac:dyDescent="0.3">
      <c r="A86" s="40">
        <v>358205080889812</v>
      </c>
      <c r="B86" s="41">
        <v>45336.231759259259</v>
      </c>
      <c r="C86" s="42" t="s">
        <v>223</v>
      </c>
    </row>
    <row r="87" spans="1:3" x14ac:dyDescent="0.3">
      <c r="A87" s="43">
        <v>358205080889853</v>
      </c>
      <c r="B87" s="44">
        <v>45338.500300925924</v>
      </c>
      <c r="C87" s="45" t="s">
        <v>193</v>
      </c>
    </row>
    <row r="88" spans="1:3" x14ac:dyDescent="0.3">
      <c r="A88" s="40">
        <v>358205080889911</v>
      </c>
      <c r="B88" s="41">
        <v>45336.282071759262</v>
      </c>
      <c r="C88" s="42" t="s">
        <v>223</v>
      </c>
    </row>
    <row r="89" spans="1:3" x14ac:dyDescent="0.3">
      <c r="A89" s="43">
        <v>358205080889929</v>
      </c>
      <c r="B89" s="44">
        <v>45338.46497685185</v>
      </c>
      <c r="C89" s="45" t="s">
        <v>223</v>
      </c>
    </row>
    <row r="90" spans="1:3" x14ac:dyDescent="0.3">
      <c r="A90" s="40">
        <v>358205080890000</v>
      </c>
      <c r="B90" s="41">
        <v>45338.499641203707</v>
      </c>
      <c r="C90" s="42" t="s">
        <v>222</v>
      </c>
    </row>
    <row r="91" spans="1:3" x14ac:dyDescent="0.3">
      <c r="A91" s="43">
        <v>358205080890026</v>
      </c>
      <c r="B91" s="44">
        <v>45338.499722222223</v>
      </c>
      <c r="C91" s="45" t="s">
        <v>223</v>
      </c>
    </row>
    <row r="92" spans="1:3" x14ac:dyDescent="0.3">
      <c r="A92" s="40">
        <v>358205080890042</v>
      </c>
      <c r="B92" s="41">
        <v>45336.286759259259</v>
      </c>
      <c r="C92" s="42" t="s">
        <v>223</v>
      </c>
    </row>
    <row r="93" spans="1:3" x14ac:dyDescent="0.3">
      <c r="A93" s="43">
        <v>358205080890109</v>
      </c>
      <c r="B93" s="44">
        <v>45338.500138888892</v>
      </c>
      <c r="C93" s="45" t="s">
        <v>222</v>
      </c>
    </row>
    <row r="94" spans="1:3" x14ac:dyDescent="0.3">
      <c r="A94" s="40">
        <v>358205080890125</v>
      </c>
      <c r="B94" s="41">
        <v>45338.499745370369</v>
      </c>
      <c r="C94" s="42" t="s">
        <v>223</v>
      </c>
    </row>
    <row r="95" spans="1:3" x14ac:dyDescent="0.3">
      <c r="A95" s="43">
        <v>358205080890133</v>
      </c>
      <c r="B95" s="44">
        <v>45338.499768518515</v>
      </c>
      <c r="C95" s="45" t="s">
        <v>222</v>
      </c>
    </row>
    <row r="96" spans="1:3" x14ac:dyDescent="0.3">
      <c r="A96" s="40">
        <v>358205080890166</v>
      </c>
      <c r="B96" s="41">
        <v>45338.499988425923</v>
      </c>
      <c r="C96" s="42" t="s">
        <v>222</v>
      </c>
    </row>
    <row r="97" spans="1:3" x14ac:dyDescent="0.3">
      <c r="A97" s="43">
        <v>358205080890174</v>
      </c>
      <c r="B97" s="44">
        <v>45338.49962962963</v>
      </c>
      <c r="C97" s="45" t="s">
        <v>223</v>
      </c>
    </row>
    <row r="98" spans="1:3" x14ac:dyDescent="0.3">
      <c r="A98" s="40">
        <v>358205080890182</v>
      </c>
      <c r="B98" s="41">
        <v>45338.499918981484</v>
      </c>
      <c r="C98" s="42" t="s">
        <v>222</v>
      </c>
    </row>
    <row r="99" spans="1:3" x14ac:dyDescent="0.3">
      <c r="A99" s="43">
        <v>358205080890224</v>
      </c>
      <c r="B99" s="44">
        <v>45337.548831018517</v>
      </c>
      <c r="C99" s="45" t="s">
        <v>223</v>
      </c>
    </row>
    <row r="100" spans="1:3" x14ac:dyDescent="0.3">
      <c r="A100" s="40">
        <v>358205080890240</v>
      </c>
      <c r="B100" s="41">
        <v>45338.5000462963</v>
      </c>
      <c r="C100" s="42" t="s">
        <v>223</v>
      </c>
    </row>
    <row r="101" spans="1:3" x14ac:dyDescent="0.3">
      <c r="A101" s="43">
        <v>358205080890257</v>
      </c>
      <c r="B101" s="44">
        <v>45336.579965277779</v>
      </c>
      <c r="C101" s="45" t="s">
        <v>223</v>
      </c>
    </row>
    <row r="102" spans="1:3" x14ac:dyDescent="0.3">
      <c r="A102" s="40">
        <v>358205080890299</v>
      </c>
      <c r="B102" s="41">
        <v>45338.500115740739</v>
      </c>
      <c r="C102" s="42" t="s">
        <v>222</v>
      </c>
    </row>
    <row r="103" spans="1:3" x14ac:dyDescent="0.3">
      <c r="A103" s="43">
        <v>358205080890307</v>
      </c>
      <c r="B103" s="44">
        <v>45338.500081018516</v>
      </c>
      <c r="C103" s="45" t="s">
        <v>222</v>
      </c>
    </row>
    <row r="104" spans="1:3" x14ac:dyDescent="0.3">
      <c r="A104" s="40">
        <v>358205080890406</v>
      </c>
      <c r="B104" s="41">
        <v>45336.414027777777</v>
      </c>
      <c r="C104" s="42" t="s">
        <v>223</v>
      </c>
    </row>
    <row r="105" spans="1:3" x14ac:dyDescent="0.3">
      <c r="A105" s="43">
        <v>358205080890497</v>
      </c>
      <c r="B105" s="44">
        <v>45338.40457175926</v>
      </c>
      <c r="C105" s="45" t="s">
        <v>222</v>
      </c>
    </row>
    <row r="106" spans="1:3" x14ac:dyDescent="0.3">
      <c r="A106" s="40">
        <v>358205080890521</v>
      </c>
      <c r="B106" s="41">
        <v>45338.499722222223</v>
      </c>
      <c r="C106" s="42" t="s">
        <v>223</v>
      </c>
    </row>
    <row r="107" spans="1:3" x14ac:dyDescent="0.3">
      <c r="A107" s="43">
        <v>358205080890596</v>
      </c>
      <c r="B107" s="44">
        <v>45338.2112037037</v>
      </c>
      <c r="C107" s="45" t="s">
        <v>222</v>
      </c>
    </row>
    <row r="108" spans="1:3" x14ac:dyDescent="0.3">
      <c r="A108" s="40">
        <v>358205080890695</v>
      </c>
      <c r="B108" s="41">
        <v>45337.536111111112</v>
      </c>
      <c r="C108" s="42" t="s">
        <v>149</v>
      </c>
    </row>
    <row r="109" spans="1:3" x14ac:dyDescent="0.3">
      <c r="A109" s="43">
        <v>358205080890729</v>
      </c>
      <c r="B109" s="44">
        <v>45338.500300925924</v>
      </c>
      <c r="C109" s="45" t="s">
        <v>193</v>
      </c>
    </row>
    <row r="110" spans="1:3" x14ac:dyDescent="0.3">
      <c r="A110" s="40">
        <v>358205080890745</v>
      </c>
      <c r="B110" s="41">
        <v>45338.500092592592</v>
      </c>
      <c r="C110" s="42" t="s">
        <v>223</v>
      </c>
    </row>
    <row r="111" spans="1:3" x14ac:dyDescent="0.3">
      <c r="A111" s="43">
        <v>358205080890778</v>
      </c>
      <c r="B111" s="44">
        <v>45337.311874999999</v>
      </c>
      <c r="C111" s="45" t="s">
        <v>223</v>
      </c>
    </row>
    <row r="112" spans="1:3" x14ac:dyDescent="0.3">
      <c r="A112" s="40">
        <v>358205080890802</v>
      </c>
      <c r="B112" s="41">
        <v>45338.364062499997</v>
      </c>
      <c r="C112" s="42" t="s">
        <v>223</v>
      </c>
    </row>
    <row r="113" spans="1:3" x14ac:dyDescent="0.3">
      <c r="A113" s="43">
        <v>358205080890828</v>
      </c>
      <c r="B113" s="44">
        <v>45337.566377314812</v>
      </c>
      <c r="C113" s="45" t="s">
        <v>223</v>
      </c>
    </row>
    <row r="114" spans="1:3" x14ac:dyDescent="0.3">
      <c r="A114" s="40">
        <v>358205080890851</v>
      </c>
      <c r="B114" s="41">
        <v>45338.500243055554</v>
      </c>
      <c r="C114" s="42" t="s">
        <v>223</v>
      </c>
    </row>
    <row r="115" spans="1:3" x14ac:dyDescent="0.3">
      <c r="A115" s="43">
        <v>358205080890893</v>
      </c>
      <c r="B115" s="44">
        <v>45338.5002662037</v>
      </c>
      <c r="C115" s="45" t="s">
        <v>222</v>
      </c>
    </row>
    <row r="116" spans="1:3" x14ac:dyDescent="0.3">
      <c r="A116" s="40">
        <v>358205080890943</v>
      </c>
      <c r="B116" s="41">
        <v>45338.499768518515</v>
      </c>
      <c r="C116" s="42" t="s">
        <v>149</v>
      </c>
    </row>
    <row r="117" spans="1:3" x14ac:dyDescent="0.3">
      <c r="A117" s="43">
        <v>358205080890950</v>
      </c>
      <c r="B117" s="44">
        <v>45338.500208333331</v>
      </c>
      <c r="C117" s="45" t="s">
        <v>149</v>
      </c>
    </row>
    <row r="118" spans="1:3" x14ac:dyDescent="0.3">
      <c r="A118" s="40">
        <v>358205080890968</v>
      </c>
      <c r="B118" s="41">
        <v>45338.499930555554</v>
      </c>
      <c r="C118" s="42" t="s">
        <v>223</v>
      </c>
    </row>
    <row r="119" spans="1:3" x14ac:dyDescent="0.3">
      <c r="A119" s="43">
        <v>358205080890992</v>
      </c>
      <c r="B119" s="44">
        <v>45337.562662037039</v>
      </c>
      <c r="C119" s="45" t="s">
        <v>223</v>
      </c>
    </row>
    <row r="120" spans="1:3" x14ac:dyDescent="0.3">
      <c r="A120" s="40">
        <v>358205080891008</v>
      </c>
      <c r="B120" s="41">
        <v>45337.361446759256</v>
      </c>
      <c r="C120" s="42" t="s">
        <v>223</v>
      </c>
    </row>
    <row r="121" spans="1:3" x14ac:dyDescent="0.3">
      <c r="A121" s="43">
        <v>358205080891024</v>
      </c>
      <c r="B121" s="44">
        <v>45338.500150462962</v>
      </c>
      <c r="C121" s="45" t="s">
        <v>223</v>
      </c>
    </row>
    <row r="122" spans="1:3" x14ac:dyDescent="0.3">
      <c r="A122" s="40">
        <v>358205080891065</v>
      </c>
      <c r="B122" s="41">
        <v>45338.499965277777</v>
      </c>
      <c r="C122" s="42" t="s">
        <v>222</v>
      </c>
    </row>
    <row r="123" spans="1:3" x14ac:dyDescent="0.3">
      <c r="A123" s="43">
        <v>358205080891073</v>
      </c>
      <c r="B123" s="44">
        <v>45336.548425925925</v>
      </c>
      <c r="C123" s="45" t="s">
        <v>223</v>
      </c>
    </row>
    <row r="124" spans="1:3" x14ac:dyDescent="0.3">
      <c r="A124" s="40">
        <v>358205080891081</v>
      </c>
      <c r="B124" s="41">
        <v>45338.500243055554</v>
      </c>
      <c r="C124" s="42" t="s">
        <v>223</v>
      </c>
    </row>
    <row r="125" spans="1:3" x14ac:dyDescent="0.3">
      <c r="A125" s="43">
        <v>358205080891107</v>
      </c>
      <c r="B125" s="44">
        <v>45338.499849537038</v>
      </c>
      <c r="C125" s="45" t="s">
        <v>222</v>
      </c>
    </row>
    <row r="126" spans="1:3" x14ac:dyDescent="0.3">
      <c r="A126" s="40">
        <v>358205080891115</v>
      </c>
      <c r="B126" s="41">
        <v>45336.236006944448</v>
      </c>
      <c r="C126" s="42" t="s">
        <v>223</v>
      </c>
    </row>
    <row r="127" spans="1:3" x14ac:dyDescent="0.3">
      <c r="A127" s="43">
        <v>358205080891131</v>
      </c>
      <c r="B127" s="44">
        <v>45338.500173611108</v>
      </c>
      <c r="C127" s="45" t="s">
        <v>223</v>
      </c>
    </row>
    <row r="128" spans="1:3" x14ac:dyDescent="0.3">
      <c r="A128" s="40">
        <v>358205080891198</v>
      </c>
      <c r="B128" s="41">
        <v>45338.280636574076</v>
      </c>
      <c r="C128" s="42" t="s">
        <v>149</v>
      </c>
    </row>
    <row r="129" spans="1:3" x14ac:dyDescent="0.3">
      <c r="A129" s="43">
        <v>358205080891206</v>
      </c>
      <c r="B129" s="44">
        <v>45338.500243055554</v>
      </c>
      <c r="C129" s="45" t="s">
        <v>149</v>
      </c>
    </row>
    <row r="130" spans="1:3" x14ac:dyDescent="0.3">
      <c r="A130" s="40">
        <v>358205080891222</v>
      </c>
      <c r="B130" s="41">
        <v>45338.499618055554</v>
      </c>
      <c r="C130" s="42" t="s">
        <v>222</v>
      </c>
    </row>
    <row r="131" spans="1:3" x14ac:dyDescent="0.3">
      <c r="A131" s="43">
        <v>358205080891230</v>
      </c>
      <c r="B131" s="44">
        <v>45338.500208333331</v>
      </c>
      <c r="C131" s="45" t="s">
        <v>149</v>
      </c>
    </row>
    <row r="132" spans="1:3" x14ac:dyDescent="0.3">
      <c r="A132" s="40">
        <v>358205080891255</v>
      </c>
      <c r="B132" s="41">
        <v>45338.500173611108</v>
      </c>
      <c r="C132" s="42" t="s">
        <v>149</v>
      </c>
    </row>
    <row r="133" spans="1:3" x14ac:dyDescent="0.3">
      <c r="A133" s="43">
        <v>358205080897500</v>
      </c>
      <c r="B133" s="44">
        <v>45338.500219907408</v>
      </c>
      <c r="C133" s="45" t="s">
        <v>149</v>
      </c>
    </row>
    <row r="134" spans="1:3" x14ac:dyDescent="0.3">
      <c r="A134" s="40">
        <v>358205080897518</v>
      </c>
      <c r="B134" s="41">
        <v>45338.500023148146</v>
      </c>
      <c r="C134" s="42" t="s">
        <v>89</v>
      </c>
    </row>
    <row r="135" spans="1:3" x14ac:dyDescent="0.3">
      <c r="A135" s="43">
        <v>358205080897716</v>
      </c>
      <c r="B135" s="44">
        <v>45338.491307870368</v>
      </c>
      <c r="C135" s="45" t="s">
        <v>223</v>
      </c>
    </row>
    <row r="136" spans="1:3" x14ac:dyDescent="0.3">
      <c r="A136" s="40">
        <v>358205080897971</v>
      </c>
      <c r="B136" s="41">
        <v>45338.500104166669</v>
      </c>
      <c r="C136" s="42" t="s">
        <v>222</v>
      </c>
    </row>
    <row r="137" spans="1:3" x14ac:dyDescent="0.3">
      <c r="A137" s="43">
        <v>358205080898052</v>
      </c>
      <c r="B137" s="44">
        <v>45338.249340277776</v>
      </c>
      <c r="C137" s="45" t="s">
        <v>223</v>
      </c>
    </row>
    <row r="138" spans="1:3" x14ac:dyDescent="0.3">
      <c r="A138" s="40">
        <v>358205080898128</v>
      </c>
      <c r="B138" s="41">
        <v>45338.500185185185</v>
      </c>
      <c r="C138" s="42" t="s">
        <v>223</v>
      </c>
    </row>
    <row r="139" spans="1:3" x14ac:dyDescent="0.3">
      <c r="A139" s="43">
        <v>358205080898177</v>
      </c>
      <c r="B139" s="44">
        <v>45338.499652777777</v>
      </c>
      <c r="C139" s="45" t="s">
        <v>223</v>
      </c>
    </row>
    <row r="140" spans="1:3" x14ac:dyDescent="0.3">
      <c r="A140" s="40">
        <v>358205080898185</v>
      </c>
      <c r="B140" s="41">
        <v>45338.499837962961</v>
      </c>
      <c r="C140" s="42" t="s">
        <v>223</v>
      </c>
    </row>
    <row r="141" spans="1:3" x14ac:dyDescent="0.3">
      <c r="A141" s="43">
        <v>358205080898284</v>
      </c>
      <c r="B141" s="44">
        <v>45338.500057870369</v>
      </c>
      <c r="C141" s="45" t="s">
        <v>125</v>
      </c>
    </row>
    <row r="142" spans="1:3" x14ac:dyDescent="0.3">
      <c r="A142" s="40">
        <v>358205080898318</v>
      </c>
      <c r="B142" s="41">
        <v>45336.309837962966</v>
      </c>
      <c r="C142" s="42" t="s">
        <v>223</v>
      </c>
    </row>
    <row r="143" spans="1:3" x14ac:dyDescent="0.3">
      <c r="A143" s="43">
        <v>358205080898342</v>
      </c>
      <c r="B143" s="44">
        <v>45338.4996875</v>
      </c>
      <c r="C143" s="45" t="s">
        <v>125</v>
      </c>
    </row>
    <row r="144" spans="1:3" x14ac:dyDescent="0.3">
      <c r="A144" s="40">
        <v>358205080898375</v>
      </c>
      <c r="B144" s="41">
        <v>45338.371331018519</v>
      </c>
      <c r="C144" s="42" t="s">
        <v>222</v>
      </c>
    </row>
    <row r="145" spans="1:3" x14ac:dyDescent="0.3">
      <c r="A145" s="43">
        <v>358205080898565</v>
      </c>
      <c r="B145" s="44">
        <v>45338.499907407408</v>
      </c>
      <c r="C145" s="45" t="s">
        <v>222</v>
      </c>
    </row>
    <row r="146" spans="1:3" x14ac:dyDescent="0.3">
      <c r="A146" s="40">
        <v>358205080898656</v>
      </c>
      <c r="B146" s="41">
        <v>45338.499907407408</v>
      </c>
      <c r="C146" s="42" t="s">
        <v>222</v>
      </c>
    </row>
    <row r="147" spans="1:3" x14ac:dyDescent="0.3">
      <c r="A147" s="43">
        <v>358205080898805</v>
      </c>
      <c r="B147" s="44">
        <v>45338.5000462963</v>
      </c>
      <c r="C147" s="45" t="s">
        <v>89</v>
      </c>
    </row>
    <row r="148" spans="1:3" x14ac:dyDescent="0.3">
      <c r="A148" s="40">
        <v>358205080898813</v>
      </c>
      <c r="B148" s="41">
        <v>45338.499618055554</v>
      </c>
      <c r="C148" s="42" t="s">
        <v>193</v>
      </c>
    </row>
    <row r="149" spans="1:3" x14ac:dyDescent="0.3">
      <c r="A149" s="43">
        <v>358205080898821</v>
      </c>
      <c r="B149" s="44">
        <v>45338.500023148146</v>
      </c>
      <c r="C149" s="45" t="s">
        <v>193</v>
      </c>
    </row>
    <row r="150" spans="1:3" x14ac:dyDescent="0.3">
      <c r="A150" s="40">
        <v>358205080898862</v>
      </c>
      <c r="B150" s="41">
        <v>45338.499861111108</v>
      </c>
      <c r="C150" s="42" t="s">
        <v>149</v>
      </c>
    </row>
    <row r="151" spans="1:3" x14ac:dyDescent="0.3">
      <c r="A151" s="43">
        <v>358205080898912</v>
      </c>
      <c r="B151" s="44">
        <v>45338.500115740739</v>
      </c>
      <c r="C151" s="45" t="s">
        <v>149</v>
      </c>
    </row>
    <row r="152" spans="1:3" x14ac:dyDescent="0.3">
      <c r="A152" s="40">
        <v>358205080898920</v>
      </c>
      <c r="B152" s="41">
        <v>45335.730405092596</v>
      </c>
      <c r="C152" s="42" t="s">
        <v>149</v>
      </c>
    </row>
    <row r="153" spans="1:3" x14ac:dyDescent="0.3">
      <c r="A153" s="43">
        <v>358205080898987</v>
      </c>
      <c r="B153" s="44">
        <v>45338.500127314815</v>
      </c>
      <c r="C153" s="45" t="s">
        <v>223</v>
      </c>
    </row>
    <row r="154" spans="1:3" x14ac:dyDescent="0.3">
      <c r="A154" s="40">
        <v>358205080898995</v>
      </c>
      <c r="B154" s="41">
        <v>45338.499803240738</v>
      </c>
      <c r="C154" s="42" t="s">
        <v>223</v>
      </c>
    </row>
    <row r="155" spans="1:3" x14ac:dyDescent="0.3">
      <c r="A155" s="43">
        <v>358205080899027</v>
      </c>
      <c r="B155" s="44">
        <v>45338.500208333331</v>
      </c>
      <c r="C155" s="45" t="s">
        <v>223</v>
      </c>
    </row>
    <row r="156" spans="1:3" x14ac:dyDescent="0.3">
      <c r="A156" s="40">
        <v>358205080899035</v>
      </c>
      <c r="B156" s="41">
        <v>45338.500300925924</v>
      </c>
      <c r="C156" s="42" t="s">
        <v>222</v>
      </c>
    </row>
    <row r="157" spans="1:3" x14ac:dyDescent="0.3">
      <c r="A157" s="43">
        <v>358205080899050</v>
      </c>
      <c r="B157" s="44">
        <v>45338.500196759262</v>
      </c>
      <c r="C157" s="45" t="s">
        <v>222</v>
      </c>
    </row>
    <row r="158" spans="1:3" x14ac:dyDescent="0.3">
      <c r="A158" s="40">
        <v>358205080899068</v>
      </c>
      <c r="B158" s="41">
        <v>45338.500057870369</v>
      </c>
      <c r="C158" s="42" t="s">
        <v>223</v>
      </c>
    </row>
    <row r="159" spans="1:3" x14ac:dyDescent="0.3">
      <c r="A159" s="43">
        <v>358205080899126</v>
      </c>
      <c r="B159" s="44">
        <v>45337.499756944446</v>
      </c>
      <c r="C159" s="45" t="s">
        <v>223</v>
      </c>
    </row>
    <row r="160" spans="1:3" x14ac:dyDescent="0.3">
      <c r="A160" s="40">
        <v>358205080899142</v>
      </c>
      <c r="B160" s="41">
        <v>45337.171365740738</v>
      </c>
      <c r="C160" s="42" t="s">
        <v>193</v>
      </c>
    </row>
    <row r="161" spans="1:3" x14ac:dyDescent="0.3">
      <c r="A161" s="43">
        <v>358205080899167</v>
      </c>
      <c r="B161" s="44">
        <v>45337.582939814813</v>
      </c>
      <c r="C161" s="45" t="s">
        <v>223</v>
      </c>
    </row>
    <row r="162" spans="1:3" x14ac:dyDescent="0.3">
      <c r="A162" s="40">
        <v>358205080899175</v>
      </c>
      <c r="B162" s="41">
        <v>45338.499710648146</v>
      </c>
      <c r="C162" s="42" t="s">
        <v>193</v>
      </c>
    </row>
    <row r="163" spans="1:3" x14ac:dyDescent="0.3">
      <c r="A163" s="43">
        <v>358205080899191</v>
      </c>
      <c r="B163" s="44">
        <v>45338.5</v>
      </c>
      <c r="C163" s="45" t="s">
        <v>223</v>
      </c>
    </row>
    <row r="164" spans="1:3" x14ac:dyDescent="0.3">
      <c r="A164" s="40">
        <v>358205080899209</v>
      </c>
      <c r="B164" s="41">
        <v>45338.4996875</v>
      </c>
      <c r="C164" s="42" t="s">
        <v>223</v>
      </c>
    </row>
    <row r="165" spans="1:3" x14ac:dyDescent="0.3">
      <c r="A165" s="43">
        <v>358205080899217</v>
      </c>
      <c r="B165" s="44">
        <v>45337.586087962962</v>
      </c>
      <c r="C165" s="45" t="s">
        <v>223</v>
      </c>
    </row>
    <row r="166" spans="1:3" x14ac:dyDescent="0.3">
      <c r="A166" s="40">
        <v>358205080899258</v>
      </c>
      <c r="B166" s="41">
        <v>45338.500231481485</v>
      </c>
      <c r="C166" s="42" t="s">
        <v>223</v>
      </c>
    </row>
    <row r="167" spans="1:3" x14ac:dyDescent="0.3">
      <c r="A167" s="43">
        <v>358205080899290</v>
      </c>
      <c r="B167" s="44">
        <v>45337.474918981483</v>
      </c>
      <c r="C167" s="45" t="s">
        <v>222</v>
      </c>
    </row>
    <row r="168" spans="1:3" x14ac:dyDescent="0.3">
      <c r="A168" s="40">
        <v>358205080899324</v>
      </c>
      <c r="B168" s="41">
        <v>45338.499988425923</v>
      </c>
      <c r="C168" s="42" t="s">
        <v>223</v>
      </c>
    </row>
    <row r="169" spans="1:3" x14ac:dyDescent="0.3">
      <c r="A169" s="43">
        <v>358205080899340</v>
      </c>
      <c r="B169" s="44">
        <v>45337.36209490741</v>
      </c>
      <c r="C169" s="45" t="s">
        <v>223</v>
      </c>
    </row>
    <row r="170" spans="1:3" x14ac:dyDescent="0.3">
      <c r="A170" s="40">
        <v>358205080899357</v>
      </c>
      <c r="B170" s="41">
        <v>45338.499988425923</v>
      </c>
      <c r="C170" s="42" t="s">
        <v>222</v>
      </c>
    </row>
    <row r="171" spans="1:3" x14ac:dyDescent="0.3">
      <c r="A171" s="43">
        <v>358205080899464</v>
      </c>
      <c r="B171" s="44">
        <v>45338.4999537037</v>
      </c>
      <c r="C171" s="45" t="s">
        <v>193</v>
      </c>
    </row>
    <row r="172" spans="1:3" x14ac:dyDescent="0.3">
      <c r="A172" s="40">
        <v>358205080899498</v>
      </c>
      <c r="B172" s="41">
        <v>45337.419930555552</v>
      </c>
      <c r="C172" s="42" t="s">
        <v>223</v>
      </c>
    </row>
    <row r="173" spans="1:3" x14ac:dyDescent="0.3">
      <c r="A173" s="43">
        <v>358205080899589</v>
      </c>
      <c r="B173" s="44">
        <v>45336.714120370372</v>
      </c>
      <c r="C173" s="45" t="s">
        <v>193</v>
      </c>
    </row>
    <row r="174" spans="1:3" x14ac:dyDescent="0.3">
      <c r="A174" s="40">
        <v>358205080899720</v>
      </c>
      <c r="B174" s="41">
        <v>45338.499837962961</v>
      </c>
      <c r="C174" s="42" t="s">
        <v>193</v>
      </c>
    </row>
    <row r="175" spans="1:3" x14ac:dyDescent="0.3">
      <c r="A175" s="43">
        <v>358205080899902</v>
      </c>
      <c r="B175" s="44">
        <v>45338.499710648146</v>
      </c>
      <c r="C175" s="45" t="s">
        <v>222</v>
      </c>
    </row>
    <row r="176" spans="1:3" x14ac:dyDescent="0.3">
      <c r="A176" s="40">
        <v>358205080899910</v>
      </c>
      <c r="B176" s="41">
        <v>45338.5000462963</v>
      </c>
      <c r="C176" s="42" t="s">
        <v>222</v>
      </c>
    </row>
    <row r="177" spans="1:3" x14ac:dyDescent="0.3">
      <c r="A177" s="43">
        <v>358205080899928</v>
      </c>
      <c r="B177" s="44">
        <v>45338.499907407408</v>
      </c>
      <c r="C177" s="45" t="s">
        <v>149</v>
      </c>
    </row>
    <row r="178" spans="1:3" x14ac:dyDescent="0.3">
      <c r="A178" s="40">
        <v>358205080899985</v>
      </c>
      <c r="B178" s="41">
        <v>45338.500104166669</v>
      </c>
      <c r="C178" s="42" t="s">
        <v>222</v>
      </c>
    </row>
    <row r="179" spans="1:3" x14ac:dyDescent="0.3">
      <c r="A179" s="43">
        <v>358205080900056</v>
      </c>
      <c r="B179" s="44">
        <v>45338.500069444446</v>
      </c>
      <c r="C179" s="45" t="s">
        <v>89</v>
      </c>
    </row>
    <row r="180" spans="1:3" x14ac:dyDescent="0.3">
      <c r="A180" s="40">
        <v>358205080900064</v>
      </c>
      <c r="B180" s="41">
        <v>45338.499884259261</v>
      </c>
      <c r="C180" s="42" t="s">
        <v>193</v>
      </c>
    </row>
    <row r="181" spans="1:3" x14ac:dyDescent="0.3">
      <c r="A181" s="43">
        <v>358205080900130</v>
      </c>
      <c r="B181" s="44">
        <v>45338.4996875</v>
      </c>
      <c r="C181" s="45" t="s">
        <v>222</v>
      </c>
    </row>
    <row r="182" spans="1:3" x14ac:dyDescent="0.3">
      <c r="A182" s="40">
        <v>358205080900148</v>
      </c>
      <c r="B182" s="41">
        <v>45336.308842592596</v>
      </c>
      <c r="C182" s="42" t="s">
        <v>223</v>
      </c>
    </row>
    <row r="183" spans="1:3" x14ac:dyDescent="0.3">
      <c r="A183" s="43">
        <v>358205080902060</v>
      </c>
      <c r="B183" s="44">
        <v>45338.499756944446</v>
      </c>
      <c r="C183" s="45" t="s">
        <v>223</v>
      </c>
    </row>
    <row r="184" spans="1:3" x14ac:dyDescent="0.3">
      <c r="A184" s="40">
        <v>358205080902078</v>
      </c>
      <c r="B184" s="41">
        <v>45338.499756944446</v>
      </c>
      <c r="C184" s="42" t="s">
        <v>223</v>
      </c>
    </row>
    <row r="185" spans="1:3" x14ac:dyDescent="0.3">
      <c r="A185" s="43">
        <v>358205080902094</v>
      </c>
      <c r="B185" s="44">
        <v>45338.500150462962</v>
      </c>
      <c r="C185" s="45" t="s">
        <v>223</v>
      </c>
    </row>
    <row r="186" spans="1:3" x14ac:dyDescent="0.3">
      <c r="A186" s="40">
        <v>358205080902128</v>
      </c>
      <c r="B186" s="41">
        <v>45336.417256944442</v>
      </c>
      <c r="C186" s="42" t="s">
        <v>223</v>
      </c>
    </row>
    <row r="187" spans="1:3" x14ac:dyDescent="0.3">
      <c r="A187" s="43">
        <v>358205080902144</v>
      </c>
      <c r="B187" s="44">
        <v>45336.508611111109</v>
      </c>
      <c r="C187" s="45" t="s">
        <v>193</v>
      </c>
    </row>
    <row r="188" spans="1:3" x14ac:dyDescent="0.3">
      <c r="A188" s="40">
        <v>358205080902169</v>
      </c>
      <c r="B188" s="41">
        <v>45337.586087962962</v>
      </c>
      <c r="C188" s="42" t="s">
        <v>223</v>
      </c>
    </row>
    <row r="189" spans="1:3" x14ac:dyDescent="0.3">
      <c r="A189" s="43">
        <v>358205080902177</v>
      </c>
      <c r="B189" s="44">
        <v>45338.499918981484</v>
      </c>
      <c r="C189" s="45" t="s">
        <v>193</v>
      </c>
    </row>
    <row r="190" spans="1:3" x14ac:dyDescent="0.3">
      <c r="A190" s="40">
        <v>358205080902185</v>
      </c>
      <c r="B190" s="41">
        <v>45338.499675925923</v>
      </c>
      <c r="C190" s="42" t="s">
        <v>223</v>
      </c>
    </row>
    <row r="191" spans="1:3" x14ac:dyDescent="0.3">
      <c r="A191" s="43">
        <v>358205080902219</v>
      </c>
      <c r="B191" s="44">
        <v>45337.436388888891</v>
      </c>
      <c r="C191" s="45" t="s">
        <v>223</v>
      </c>
    </row>
    <row r="192" spans="1:3" x14ac:dyDescent="0.3">
      <c r="A192" s="40">
        <v>358205080902227</v>
      </c>
      <c r="B192" s="41">
        <v>45337.2425</v>
      </c>
      <c r="C192" s="42" t="s">
        <v>223</v>
      </c>
    </row>
    <row r="193" spans="1:3" x14ac:dyDescent="0.3">
      <c r="A193" s="43">
        <v>358205080902276</v>
      </c>
      <c r="B193" s="44">
        <v>45338.485902777778</v>
      </c>
      <c r="C193" s="45" t="s">
        <v>89</v>
      </c>
    </row>
    <row r="194" spans="1:3" x14ac:dyDescent="0.3">
      <c r="A194" s="40">
        <v>358205080902300</v>
      </c>
      <c r="B194" s="41">
        <v>45338.499814814815</v>
      </c>
      <c r="C194" s="42" t="s">
        <v>223</v>
      </c>
    </row>
    <row r="195" spans="1:3" x14ac:dyDescent="0.3">
      <c r="A195" s="43">
        <v>358205080902318</v>
      </c>
      <c r="B195" s="44">
        <v>45338.500208333331</v>
      </c>
      <c r="C195" s="45" t="s">
        <v>223</v>
      </c>
    </row>
    <row r="196" spans="1:3" x14ac:dyDescent="0.3">
      <c r="A196" s="40">
        <v>358205080902441</v>
      </c>
      <c r="B196" s="41">
        <v>45337.851469907408</v>
      </c>
      <c r="C196" s="42" t="s">
        <v>193</v>
      </c>
    </row>
    <row r="197" spans="1:3" x14ac:dyDescent="0.3">
      <c r="A197" s="43">
        <v>358205080902508</v>
      </c>
      <c r="B197" s="44">
        <v>45336.236215277779</v>
      </c>
      <c r="C197" s="45" t="s">
        <v>223</v>
      </c>
    </row>
    <row r="198" spans="1:3" x14ac:dyDescent="0.3">
      <c r="A198" s="40">
        <v>358205080902516</v>
      </c>
      <c r="B198" s="41">
        <v>45336.308819444443</v>
      </c>
      <c r="C198" s="42" t="s">
        <v>223</v>
      </c>
    </row>
    <row r="199" spans="1:3" x14ac:dyDescent="0.3">
      <c r="A199" s="43">
        <v>358205080902524</v>
      </c>
      <c r="B199" s="44">
        <v>45337.771504629629</v>
      </c>
      <c r="C199" s="45" t="s">
        <v>223</v>
      </c>
    </row>
    <row r="200" spans="1:3" x14ac:dyDescent="0.3">
      <c r="A200" s="40">
        <v>358205080902599</v>
      </c>
      <c r="B200" s="41">
        <v>45336.525879629633</v>
      </c>
      <c r="C200" s="42" t="s">
        <v>223</v>
      </c>
    </row>
    <row r="201" spans="1:3" x14ac:dyDescent="0.3">
      <c r="A201" s="43">
        <v>358205080902607</v>
      </c>
      <c r="B201" s="44">
        <v>45338.499710648146</v>
      </c>
      <c r="C201" s="45" t="s">
        <v>223</v>
      </c>
    </row>
    <row r="202" spans="1:3" x14ac:dyDescent="0.3">
      <c r="A202" s="40">
        <v>358205080902698</v>
      </c>
      <c r="B202" s="41">
        <v>45338.500254629631</v>
      </c>
      <c r="C202" s="42" t="s">
        <v>89</v>
      </c>
    </row>
    <row r="203" spans="1:3" x14ac:dyDescent="0.3">
      <c r="A203" s="43">
        <v>358205080902722</v>
      </c>
      <c r="B203" s="44">
        <v>45338.499722222223</v>
      </c>
      <c r="C203" s="45" t="s">
        <v>223</v>
      </c>
    </row>
    <row r="204" spans="1:3" x14ac:dyDescent="0.3">
      <c r="A204" s="40">
        <v>358205080902763</v>
      </c>
      <c r="B204" s="41">
        <v>45338.499895833331</v>
      </c>
      <c r="C204" s="42" t="s">
        <v>222</v>
      </c>
    </row>
    <row r="205" spans="1:3" x14ac:dyDescent="0.3">
      <c r="A205" s="43">
        <v>358205080902789</v>
      </c>
      <c r="B205" s="44">
        <v>45336.419502314813</v>
      </c>
      <c r="C205" s="45" t="s">
        <v>223</v>
      </c>
    </row>
    <row r="206" spans="1:3" x14ac:dyDescent="0.3">
      <c r="A206" s="40">
        <v>358205080902797</v>
      </c>
      <c r="B206" s="41">
        <v>45338.499652777777</v>
      </c>
      <c r="C206" s="42" t="s">
        <v>222</v>
      </c>
    </row>
    <row r="207" spans="1:3" x14ac:dyDescent="0.3">
      <c r="A207" s="43">
        <v>358205080902854</v>
      </c>
      <c r="B207" s="44">
        <v>45338.499618055554</v>
      </c>
      <c r="C207" s="45" t="s">
        <v>222</v>
      </c>
    </row>
    <row r="208" spans="1:3" x14ac:dyDescent="0.3">
      <c r="A208" s="40">
        <v>358205080903167</v>
      </c>
      <c r="B208" s="41">
        <v>45338.500277777777</v>
      </c>
      <c r="C208" s="42" t="s">
        <v>223</v>
      </c>
    </row>
    <row r="209" spans="1:3" x14ac:dyDescent="0.3">
      <c r="A209" s="43">
        <v>358205080903175</v>
      </c>
      <c r="B209" s="44">
        <v>45338.461215277777</v>
      </c>
      <c r="C209" s="45" t="s">
        <v>223</v>
      </c>
    </row>
    <row r="210" spans="1:3" x14ac:dyDescent="0.3">
      <c r="A210" s="40">
        <v>358205080903183</v>
      </c>
      <c r="B210" s="41">
        <v>45338.499641203707</v>
      </c>
      <c r="C210" s="42" t="s">
        <v>223</v>
      </c>
    </row>
    <row r="211" spans="1:3" x14ac:dyDescent="0.3">
      <c r="A211" s="43">
        <v>358205080903191</v>
      </c>
      <c r="B211" s="44">
        <v>45338.500023148146</v>
      </c>
      <c r="C211" s="45" t="s">
        <v>89</v>
      </c>
    </row>
    <row r="212" spans="1:3" x14ac:dyDescent="0.3">
      <c r="A212" s="40">
        <v>358205080903233</v>
      </c>
      <c r="B212" s="41">
        <v>45337.271967592591</v>
      </c>
      <c r="C212" s="42" t="s">
        <v>223</v>
      </c>
    </row>
    <row r="213" spans="1:3" x14ac:dyDescent="0.3">
      <c r="A213" s="43">
        <v>358205080903258</v>
      </c>
      <c r="B213" s="44">
        <v>45338.5002662037</v>
      </c>
      <c r="C213" s="45" t="s">
        <v>222</v>
      </c>
    </row>
    <row r="214" spans="1:3" x14ac:dyDescent="0.3">
      <c r="A214" s="40">
        <v>358205080903282</v>
      </c>
      <c r="B214" s="41">
        <v>45338.499895833331</v>
      </c>
      <c r="C214" s="42" t="s">
        <v>223</v>
      </c>
    </row>
    <row r="215" spans="1:3" x14ac:dyDescent="0.3">
      <c r="A215" s="43">
        <v>358205080903290</v>
      </c>
      <c r="B215" s="44">
        <v>45338.500300925924</v>
      </c>
      <c r="C215" s="45" t="s">
        <v>223</v>
      </c>
    </row>
    <row r="216" spans="1:3" x14ac:dyDescent="0.3">
      <c r="A216" s="40">
        <v>358205080903381</v>
      </c>
      <c r="B216" s="41">
        <v>45338.499895833331</v>
      </c>
      <c r="C216" s="42" t="s">
        <v>43</v>
      </c>
    </row>
    <row r="217" spans="1:3" x14ac:dyDescent="0.3">
      <c r="A217" s="43">
        <v>358205080903910</v>
      </c>
      <c r="B217" s="44">
        <v>45338.500011574077</v>
      </c>
      <c r="C217" s="45" t="s">
        <v>125</v>
      </c>
    </row>
    <row r="218" spans="1:3" x14ac:dyDescent="0.3">
      <c r="A218" s="40">
        <v>358205080903936</v>
      </c>
      <c r="B218" s="41">
        <v>45338.4999537037</v>
      </c>
      <c r="C218" s="42" t="s">
        <v>125</v>
      </c>
    </row>
    <row r="219" spans="1:3" x14ac:dyDescent="0.3">
      <c r="A219" s="43">
        <v>358205080903969</v>
      </c>
      <c r="B219" s="44">
        <v>45337.644270833334</v>
      </c>
      <c r="C219" s="45" t="s">
        <v>193</v>
      </c>
    </row>
    <row r="220" spans="1:3" x14ac:dyDescent="0.3">
      <c r="A220" s="40">
        <v>358205080904009</v>
      </c>
      <c r="B220" s="41">
        <v>45338.499641203707</v>
      </c>
      <c r="C220" s="42" t="s">
        <v>125</v>
      </c>
    </row>
    <row r="221" spans="1:3" x14ac:dyDescent="0.3">
      <c r="A221" s="43">
        <v>358205080904017</v>
      </c>
      <c r="B221" s="44">
        <v>45338.500057870369</v>
      </c>
      <c r="C221" s="45" t="s">
        <v>125</v>
      </c>
    </row>
    <row r="222" spans="1:3" x14ac:dyDescent="0.3">
      <c r="A222" s="40">
        <v>358205080904033</v>
      </c>
      <c r="B222" s="41">
        <v>45338.5</v>
      </c>
      <c r="C222" s="42" t="s">
        <v>125</v>
      </c>
    </row>
    <row r="223" spans="1:3" x14ac:dyDescent="0.3">
      <c r="A223" s="43">
        <v>358205080904421</v>
      </c>
      <c r="B223" s="44">
        <v>45338.500254629631</v>
      </c>
      <c r="C223" s="45" t="s">
        <v>222</v>
      </c>
    </row>
    <row r="224" spans="1:3" x14ac:dyDescent="0.3">
      <c r="A224" s="40">
        <v>358205080904595</v>
      </c>
      <c r="B224" s="41">
        <v>45338.500023148146</v>
      </c>
      <c r="C224" s="42" t="s">
        <v>222</v>
      </c>
    </row>
    <row r="225" spans="1:3" x14ac:dyDescent="0.3">
      <c r="A225" s="43">
        <v>358205080904603</v>
      </c>
      <c r="B225" s="44">
        <v>45336.25335648148</v>
      </c>
      <c r="C225" s="45" t="s">
        <v>223</v>
      </c>
    </row>
    <row r="226" spans="1:3" x14ac:dyDescent="0.3">
      <c r="A226" s="40">
        <v>358205080904637</v>
      </c>
      <c r="B226" s="41">
        <v>45338.400347222225</v>
      </c>
      <c r="C226" s="42" t="s">
        <v>125</v>
      </c>
    </row>
    <row r="227" spans="1:3" x14ac:dyDescent="0.3">
      <c r="A227" s="43">
        <v>358205080904645</v>
      </c>
      <c r="B227" s="44">
        <v>45338.500219907408</v>
      </c>
      <c r="C227" s="45" t="s">
        <v>125</v>
      </c>
    </row>
    <row r="228" spans="1:3" x14ac:dyDescent="0.3">
      <c r="A228" s="40">
        <v>358205080904652</v>
      </c>
      <c r="B228" s="41">
        <v>45338.500219907408</v>
      </c>
      <c r="C228" s="42" t="s">
        <v>125</v>
      </c>
    </row>
    <row r="229" spans="1:3" x14ac:dyDescent="0.3">
      <c r="A229" s="43">
        <v>358205080904678</v>
      </c>
      <c r="B229" s="44">
        <v>45338.499641203707</v>
      </c>
      <c r="C229" s="45" t="s">
        <v>125</v>
      </c>
    </row>
    <row r="230" spans="1:3" x14ac:dyDescent="0.3">
      <c r="A230" s="40">
        <v>358205080904728</v>
      </c>
      <c r="B230" s="41">
        <v>45336.405706018515</v>
      </c>
      <c r="C230" s="42" t="s">
        <v>125</v>
      </c>
    </row>
    <row r="231" spans="1:3" x14ac:dyDescent="0.3">
      <c r="A231" s="43">
        <v>358205080904793</v>
      </c>
      <c r="B231" s="44">
        <v>45336.525138888886</v>
      </c>
      <c r="C231" s="45" t="s">
        <v>223</v>
      </c>
    </row>
    <row r="232" spans="1:3" x14ac:dyDescent="0.3">
      <c r="A232" s="40">
        <v>358205080904801</v>
      </c>
      <c r="B232" s="41">
        <v>45336.280648148146</v>
      </c>
      <c r="C232" s="42" t="s">
        <v>223</v>
      </c>
    </row>
    <row r="233" spans="1:3" x14ac:dyDescent="0.3">
      <c r="A233" s="43">
        <v>358205080904819</v>
      </c>
      <c r="B233" s="44">
        <v>45338.499756944446</v>
      </c>
      <c r="C233" s="45" t="s">
        <v>222</v>
      </c>
    </row>
    <row r="234" spans="1:3" x14ac:dyDescent="0.3">
      <c r="A234" s="40">
        <v>358205080905097</v>
      </c>
      <c r="B234" s="41">
        <v>45338.499849537038</v>
      </c>
      <c r="C234" s="42" t="s">
        <v>125</v>
      </c>
    </row>
    <row r="235" spans="1:3" x14ac:dyDescent="0.3">
      <c r="A235" s="43">
        <v>358205080905105</v>
      </c>
      <c r="B235" s="44">
        <v>45336.988738425927</v>
      </c>
      <c r="C235" s="45" t="s">
        <v>125</v>
      </c>
    </row>
    <row r="236" spans="1:3" x14ac:dyDescent="0.3">
      <c r="A236" s="40">
        <v>358205080908315</v>
      </c>
      <c r="B236" s="41">
        <v>45336.508668981478</v>
      </c>
      <c r="C236" s="42" t="s">
        <v>193</v>
      </c>
    </row>
    <row r="237" spans="1:3" x14ac:dyDescent="0.3">
      <c r="A237" s="43">
        <v>358205080908323</v>
      </c>
      <c r="B237" s="44">
        <v>45338.499884259261</v>
      </c>
      <c r="C237" s="45" t="s">
        <v>193</v>
      </c>
    </row>
    <row r="238" spans="1:3" x14ac:dyDescent="0.3">
      <c r="A238" s="40">
        <v>358205080908331</v>
      </c>
      <c r="B238" s="41">
        <v>45336.226481481484</v>
      </c>
      <c r="C238" s="42" t="s">
        <v>193</v>
      </c>
    </row>
    <row r="239" spans="1:3" x14ac:dyDescent="0.3">
      <c r="A239" s="43">
        <v>358205080908380</v>
      </c>
      <c r="B239" s="44">
        <v>45338.499780092592</v>
      </c>
      <c r="C239" s="45" t="s">
        <v>222</v>
      </c>
    </row>
    <row r="240" spans="1:3" x14ac:dyDescent="0.3">
      <c r="A240" s="40">
        <v>358205080908398</v>
      </c>
      <c r="B240" s="41">
        <v>45338.499849537038</v>
      </c>
      <c r="C240" s="42" t="s">
        <v>222</v>
      </c>
    </row>
    <row r="241" spans="1:3" x14ac:dyDescent="0.3">
      <c r="A241" s="43">
        <v>358205080908422</v>
      </c>
      <c r="B241" s="44">
        <v>45338.499895833331</v>
      </c>
      <c r="C241" s="45" t="s">
        <v>222</v>
      </c>
    </row>
    <row r="242" spans="1:3" x14ac:dyDescent="0.3">
      <c r="A242" s="40">
        <v>358205080908497</v>
      </c>
      <c r="B242" s="41">
        <v>45338.499814814815</v>
      </c>
      <c r="C242" s="42" t="s">
        <v>222</v>
      </c>
    </row>
    <row r="243" spans="1:3" x14ac:dyDescent="0.3">
      <c r="A243" s="43">
        <v>358205080908505</v>
      </c>
      <c r="B243" s="44">
        <v>45338.385972222219</v>
      </c>
      <c r="C243" s="45" t="s">
        <v>222</v>
      </c>
    </row>
    <row r="244" spans="1:3" x14ac:dyDescent="0.3">
      <c r="A244" s="40">
        <v>358205080908521</v>
      </c>
      <c r="B244" s="41">
        <v>45338.4997337963</v>
      </c>
      <c r="C244" s="42" t="s">
        <v>222</v>
      </c>
    </row>
    <row r="245" spans="1:3" x14ac:dyDescent="0.3">
      <c r="A245" s="43">
        <v>358205080908547</v>
      </c>
      <c r="B245" s="44">
        <v>45338.499814814815</v>
      </c>
      <c r="C245" s="45" t="s">
        <v>222</v>
      </c>
    </row>
    <row r="246" spans="1:3" x14ac:dyDescent="0.3">
      <c r="A246" s="40">
        <v>358205080908588</v>
      </c>
      <c r="B246" s="41">
        <v>45338.500104166669</v>
      </c>
      <c r="C246" s="42" t="s">
        <v>222</v>
      </c>
    </row>
    <row r="247" spans="1:3" x14ac:dyDescent="0.3">
      <c r="A247" s="43">
        <v>358205080908596</v>
      </c>
      <c r="B247" s="44">
        <v>45338.499768518515</v>
      </c>
      <c r="C247" s="45" t="s">
        <v>222</v>
      </c>
    </row>
    <row r="248" spans="1:3" x14ac:dyDescent="0.3">
      <c r="A248" s="40">
        <v>358205080908646</v>
      </c>
      <c r="B248" s="41">
        <v>45338.500162037039</v>
      </c>
      <c r="C248" s="42" t="s">
        <v>89</v>
      </c>
    </row>
    <row r="249" spans="1:3" x14ac:dyDescent="0.3">
      <c r="A249" s="43">
        <v>358205080908687</v>
      </c>
      <c r="B249" s="44">
        <v>45336.61314814815</v>
      </c>
      <c r="C249" s="45" t="s">
        <v>222</v>
      </c>
    </row>
    <row r="250" spans="1:3" x14ac:dyDescent="0.3">
      <c r="A250" s="40">
        <v>358205080908703</v>
      </c>
      <c r="B250" s="41">
        <v>45336.56559027778</v>
      </c>
      <c r="C250" s="42" t="s">
        <v>89</v>
      </c>
    </row>
    <row r="251" spans="1:3" x14ac:dyDescent="0.3">
      <c r="A251" s="43">
        <v>358205080908760</v>
      </c>
      <c r="B251" s="44">
        <v>45338.377939814818</v>
      </c>
      <c r="C251" s="45" t="s">
        <v>89</v>
      </c>
    </row>
    <row r="252" spans="1:3" x14ac:dyDescent="0.3">
      <c r="A252" s="40">
        <v>358205080908778</v>
      </c>
      <c r="B252" s="41">
        <v>45336.539756944447</v>
      </c>
      <c r="C252" s="42" t="s">
        <v>222</v>
      </c>
    </row>
    <row r="253" spans="1:3" x14ac:dyDescent="0.3">
      <c r="A253" s="43">
        <v>358205080908877</v>
      </c>
      <c r="B253" s="44">
        <v>45338.500231481485</v>
      </c>
      <c r="C253" s="45" t="s">
        <v>89</v>
      </c>
    </row>
    <row r="254" spans="1:3" x14ac:dyDescent="0.3">
      <c r="A254" s="40">
        <v>358205080908927</v>
      </c>
      <c r="B254" s="41">
        <v>45338.499803240738</v>
      </c>
      <c r="C254" s="42" t="s">
        <v>89</v>
      </c>
    </row>
    <row r="255" spans="1:3" x14ac:dyDescent="0.3">
      <c r="A255" s="43">
        <v>358205080908943</v>
      </c>
      <c r="B255" s="44">
        <v>45336.217743055553</v>
      </c>
      <c r="C255" s="45" t="s">
        <v>223</v>
      </c>
    </row>
    <row r="256" spans="1:3" x14ac:dyDescent="0.3">
      <c r="A256" s="40">
        <v>358205080908950</v>
      </c>
      <c r="B256" s="41">
        <v>45338.499664351853</v>
      </c>
      <c r="C256" s="42" t="s">
        <v>222</v>
      </c>
    </row>
    <row r="257" spans="1:3" x14ac:dyDescent="0.3">
      <c r="A257" s="43">
        <v>358205080909016</v>
      </c>
      <c r="B257" s="44">
        <v>45338.495972222219</v>
      </c>
      <c r="C257" s="45" t="s">
        <v>223</v>
      </c>
    </row>
    <row r="258" spans="1:3" x14ac:dyDescent="0.3">
      <c r="A258" s="40">
        <v>358205080909073</v>
      </c>
      <c r="B258" s="41">
        <v>45336.46707175926</v>
      </c>
      <c r="C258" s="42" t="s">
        <v>223</v>
      </c>
    </row>
    <row r="259" spans="1:3" x14ac:dyDescent="0.3">
      <c r="A259" s="43">
        <v>358205080909149</v>
      </c>
      <c r="B259" s="44">
        <v>45336.524733796294</v>
      </c>
      <c r="C259" s="45" t="s">
        <v>223</v>
      </c>
    </row>
    <row r="260" spans="1:3" x14ac:dyDescent="0.3">
      <c r="A260" s="40">
        <v>358205080909172</v>
      </c>
      <c r="B260" s="41">
        <v>45338.500208333331</v>
      </c>
      <c r="C260" s="42" t="s">
        <v>89</v>
      </c>
    </row>
    <row r="261" spans="1:3" x14ac:dyDescent="0.3">
      <c r="A261" s="43">
        <v>358205080909198</v>
      </c>
      <c r="B261" s="44">
        <v>45338.499641203707</v>
      </c>
      <c r="C261" s="45" t="s">
        <v>89</v>
      </c>
    </row>
    <row r="262" spans="1:3" x14ac:dyDescent="0.3">
      <c r="A262" s="40">
        <v>358205080909230</v>
      </c>
      <c r="B262" s="41">
        <v>45338.489895833336</v>
      </c>
      <c r="C262" s="42" t="s">
        <v>223</v>
      </c>
    </row>
    <row r="263" spans="1:3" x14ac:dyDescent="0.3">
      <c r="A263" s="43">
        <v>358205080909248</v>
      </c>
      <c r="B263" s="44">
        <v>45338.297534722224</v>
      </c>
      <c r="C263" s="45" t="s">
        <v>223</v>
      </c>
    </row>
    <row r="264" spans="1:3" x14ac:dyDescent="0.3">
      <c r="A264" s="40">
        <v>358205080909255</v>
      </c>
      <c r="B264" s="41">
        <v>45336.365868055553</v>
      </c>
      <c r="C264" s="42" t="s">
        <v>223</v>
      </c>
    </row>
    <row r="265" spans="1:3" x14ac:dyDescent="0.3">
      <c r="A265" s="43">
        <v>358205080909263</v>
      </c>
      <c r="B265" s="44">
        <v>45337.308645833335</v>
      </c>
      <c r="C265" s="45" t="s">
        <v>223</v>
      </c>
    </row>
    <row r="266" spans="1:3" x14ac:dyDescent="0.3">
      <c r="A266" s="40">
        <v>358205080909297</v>
      </c>
      <c r="B266" s="41">
        <v>45338.500289351854</v>
      </c>
      <c r="C266" s="42" t="s">
        <v>223</v>
      </c>
    </row>
    <row r="267" spans="1:3" x14ac:dyDescent="0.3">
      <c r="A267" s="43">
        <v>358205080909313</v>
      </c>
      <c r="B267" s="44">
        <v>45338.500277777777</v>
      </c>
      <c r="C267" s="45" t="s">
        <v>223</v>
      </c>
    </row>
    <row r="268" spans="1:3" x14ac:dyDescent="0.3">
      <c r="A268" s="40">
        <v>358205080933321</v>
      </c>
      <c r="B268" s="41">
        <v>45338.500300925924</v>
      </c>
      <c r="C268" s="42" t="s">
        <v>178</v>
      </c>
    </row>
    <row r="269" spans="1:3" x14ac:dyDescent="0.3">
      <c r="A269" s="43">
        <v>358205080933347</v>
      </c>
      <c r="B269" s="44">
        <v>45338.499849537038</v>
      </c>
      <c r="C269" s="45" t="s">
        <v>149</v>
      </c>
    </row>
    <row r="270" spans="1:3" x14ac:dyDescent="0.3">
      <c r="A270" s="40">
        <v>358205080933412</v>
      </c>
      <c r="B270" s="41">
        <v>45338.500185185185</v>
      </c>
      <c r="C270" s="42" t="s">
        <v>178</v>
      </c>
    </row>
    <row r="271" spans="1:3" x14ac:dyDescent="0.3">
      <c r="A271" s="43">
        <v>358205080933420</v>
      </c>
      <c r="B271" s="44">
        <v>45338.499837962961</v>
      </c>
      <c r="C271" s="45" t="s">
        <v>149</v>
      </c>
    </row>
    <row r="272" spans="1:3" x14ac:dyDescent="0.3">
      <c r="A272" s="40">
        <v>358205080933446</v>
      </c>
      <c r="B272" s="41">
        <v>45338.500162037039</v>
      </c>
      <c r="C272" s="42" t="s">
        <v>149</v>
      </c>
    </row>
    <row r="273" spans="1:3" x14ac:dyDescent="0.3">
      <c r="A273" s="43">
        <v>358205080933461</v>
      </c>
      <c r="B273" s="44">
        <v>45338.500011574077</v>
      </c>
      <c r="C273" s="45" t="s">
        <v>149</v>
      </c>
    </row>
    <row r="274" spans="1:3" x14ac:dyDescent="0.3">
      <c r="A274" s="40">
        <v>358205080933487</v>
      </c>
      <c r="B274" s="41">
        <v>45338.500208333331</v>
      </c>
      <c r="C274" s="42" t="s">
        <v>178</v>
      </c>
    </row>
    <row r="275" spans="1:3" x14ac:dyDescent="0.3">
      <c r="A275" s="43">
        <v>358205080933495</v>
      </c>
      <c r="B275" s="44">
        <v>45338.392465277779</v>
      </c>
      <c r="C275" s="45" t="s">
        <v>149</v>
      </c>
    </row>
    <row r="276" spans="1:3" x14ac:dyDescent="0.3">
      <c r="A276" s="40">
        <v>358205080933529</v>
      </c>
      <c r="B276" s="41">
        <v>45338.499895833331</v>
      </c>
      <c r="C276" s="42" t="s">
        <v>178</v>
      </c>
    </row>
    <row r="277" spans="1:3" x14ac:dyDescent="0.3">
      <c r="A277" s="43">
        <v>358205080933560</v>
      </c>
      <c r="B277" s="44">
        <v>45338.500104166669</v>
      </c>
      <c r="C277" s="45" t="s">
        <v>178</v>
      </c>
    </row>
    <row r="278" spans="1:3" x14ac:dyDescent="0.3">
      <c r="A278" s="40">
        <v>358205080933586</v>
      </c>
      <c r="B278" s="41">
        <v>45337.676747685182</v>
      </c>
      <c r="C278" s="42" t="s">
        <v>178</v>
      </c>
    </row>
    <row r="279" spans="1:3" x14ac:dyDescent="0.3">
      <c r="A279" s="43">
        <v>358205080933651</v>
      </c>
      <c r="B279" s="44">
        <v>45338.500254629631</v>
      </c>
      <c r="C279" s="45" t="s">
        <v>149</v>
      </c>
    </row>
    <row r="280" spans="1:3" x14ac:dyDescent="0.3">
      <c r="A280" s="40">
        <v>358205080933727</v>
      </c>
      <c r="B280" s="41">
        <v>45338.499965277777</v>
      </c>
      <c r="C280" s="42" t="s">
        <v>149</v>
      </c>
    </row>
    <row r="281" spans="1:3" x14ac:dyDescent="0.3">
      <c r="A281" s="43">
        <v>358205080933818</v>
      </c>
      <c r="B281" s="44">
        <v>45338.4997337963</v>
      </c>
      <c r="C281" s="45" t="s">
        <v>149</v>
      </c>
    </row>
    <row r="282" spans="1:3" x14ac:dyDescent="0.3">
      <c r="A282" s="40">
        <v>358205080933826</v>
      </c>
      <c r="B282" s="41">
        <v>45338.4997337963</v>
      </c>
      <c r="C282" s="42" t="s">
        <v>149</v>
      </c>
    </row>
    <row r="283" spans="1:3" x14ac:dyDescent="0.3">
      <c r="A283" s="43">
        <v>358205080933842</v>
      </c>
      <c r="B283" s="44">
        <v>45338.4997337963</v>
      </c>
      <c r="C283" s="45" t="s">
        <v>149</v>
      </c>
    </row>
    <row r="284" spans="1:3" x14ac:dyDescent="0.3">
      <c r="A284" s="40">
        <v>358205081055256</v>
      </c>
      <c r="B284" s="41">
        <v>45338.4997337963</v>
      </c>
      <c r="C284" s="42" t="s">
        <v>43</v>
      </c>
    </row>
    <row r="285" spans="1:3" x14ac:dyDescent="0.3">
      <c r="A285" s="43">
        <v>358205081055553</v>
      </c>
      <c r="B285" s="44">
        <v>45338.500289351854</v>
      </c>
      <c r="C285" s="45" t="s">
        <v>43</v>
      </c>
    </row>
    <row r="286" spans="1:3" x14ac:dyDescent="0.3">
      <c r="A286" s="40">
        <v>358205083573538</v>
      </c>
      <c r="B286" s="41">
        <v>45338.500104166669</v>
      </c>
      <c r="C286" s="42" t="s">
        <v>87</v>
      </c>
    </row>
    <row r="287" spans="1:3" x14ac:dyDescent="0.3">
      <c r="A287" s="43">
        <v>358205083573629</v>
      </c>
      <c r="B287" s="44">
        <v>45338.500208333331</v>
      </c>
      <c r="C287" s="45" t="s">
        <v>149</v>
      </c>
    </row>
    <row r="288" spans="1:3" x14ac:dyDescent="0.3">
      <c r="A288" s="40">
        <v>358205083573835</v>
      </c>
      <c r="B288" s="41">
        <v>45338.500277777777</v>
      </c>
      <c r="C288" s="42" t="s">
        <v>125</v>
      </c>
    </row>
    <row r="289" spans="1:3" x14ac:dyDescent="0.3">
      <c r="A289" s="43">
        <v>358205083573850</v>
      </c>
      <c r="B289" s="44">
        <v>45338.500138888892</v>
      </c>
      <c r="C289" s="45" t="s">
        <v>125</v>
      </c>
    </row>
    <row r="290" spans="1:3" x14ac:dyDescent="0.3">
      <c r="A290" s="40">
        <v>358205083573892</v>
      </c>
      <c r="B290" s="41">
        <v>45338.499664351853</v>
      </c>
      <c r="C290" s="42" t="s">
        <v>125</v>
      </c>
    </row>
    <row r="291" spans="1:3" x14ac:dyDescent="0.3">
      <c r="A291" s="43">
        <v>358205083573918</v>
      </c>
      <c r="B291" s="44">
        <v>45338.499988425923</v>
      </c>
      <c r="C291" s="45" t="s">
        <v>125</v>
      </c>
    </row>
    <row r="292" spans="1:3" x14ac:dyDescent="0.3">
      <c r="A292" s="40">
        <v>358205083574080</v>
      </c>
      <c r="B292" s="41">
        <v>45338.499814814815</v>
      </c>
      <c r="C292" s="42" t="s">
        <v>43</v>
      </c>
    </row>
    <row r="293" spans="1:3" x14ac:dyDescent="0.3">
      <c r="A293" s="43">
        <v>358205083574114</v>
      </c>
      <c r="B293" s="44">
        <v>45337.64471064815</v>
      </c>
      <c r="C293" s="45" t="s">
        <v>43</v>
      </c>
    </row>
    <row r="294" spans="1:3" x14ac:dyDescent="0.3">
      <c r="A294" s="40">
        <v>358205083574189</v>
      </c>
      <c r="B294" s="41">
        <v>45337.600995370369</v>
      </c>
      <c r="C294" s="42" t="s">
        <v>125</v>
      </c>
    </row>
    <row r="295" spans="1:3" x14ac:dyDescent="0.3">
      <c r="A295" s="43">
        <v>358205083574239</v>
      </c>
      <c r="B295" s="44">
        <v>45338.499664351853</v>
      </c>
      <c r="C295" s="45" t="s">
        <v>149</v>
      </c>
    </row>
    <row r="296" spans="1:3" x14ac:dyDescent="0.3">
      <c r="A296" s="40">
        <v>358205083574452</v>
      </c>
      <c r="B296" s="41">
        <v>45338.499745370369</v>
      </c>
      <c r="C296" s="42" t="s">
        <v>43</v>
      </c>
    </row>
    <row r="297" spans="1:3" x14ac:dyDescent="0.3">
      <c r="A297" s="43">
        <v>358205083574536</v>
      </c>
      <c r="B297" s="44">
        <v>45337.86109953704</v>
      </c>
      <c r="C297" s="45" t="s">
        <v>178</v>
      </c>
    </row>
    <row r="298" spans="1:3" x14ac:dyDescent="0.3">
      <c r="A298" s="40">
        <v>358205083574544</v>
      </c>
      <c r="B298" s="41">
        <v>45338.261678240742</v>
      </c>
      <c r="C298" s="42" t="s">
        <v>149</v>
      </c>
    </row>
    <row r="299" spans="1:3" x14ac:dyDescent="0.3">
      <c r="A299" s="43">
        <v>358205083574601</v>
      </c>
      <c r="B299" s="44">
        <v>45338.500057870369</v>
      </c>
      <c r="C299" s="45" t="s">
        <v>178</v>
      </c>
    </row>
    <row r="300" spans="1:3" x14ac:dyDescent="0.3">
      <c r="A300" s="40">
        <v>358205083574734</v>
      </c>
      <c r="B300" s="41">
        <v>45338.5000462963</v>
      </c>
      <c r="C300" s="42" t="s">
        <v>149</v>
      </c>
    </row>
    <row r="301" spans="1:3" x14ac:dyDescent="0.3">
      <c r="A301" s="43">
        <v>358205083574742</v>
      </c>
      <c r="B301" s="44">
        <v>45337.557696759257</v>
      </c>
      <c r="C301" s="45" t="s">
        <v>178</v>
      </c>
    </row>
    <row r="302" spans="1:3" x14ac:dyDescent="0.3">
      <c r="A302" s="40">
        <v>358205083574825</v>
      </c>
      <c r="B302" s="41">
        <v>45338.500127314815</v>
      </c>
      <c r="C302" s="42" t="s">
        <v>43</v>
      </c>
    </row>
    <row r="303" spans="1:3" x14ac:dyDescent="0.3">
      <c r="A303" s="43">
        <v>358205083574924</v>
      </c>
      <c r="B303" s="44">
        <v>45337.564895833333</v>
      </c>
      <c r="C303" s="45" t="s">
        <v>43</v>
      </c>
    </row>
    <row r="304" spans="1:3" x14ac:dyDescent="0.3">
      <c r="A304" s="40">
        <v>358205083574999</v>
      </c>
      <c r="B304" s="41">
        <v>45338.499849537038</v>
      </c>
      <c r="C304" s="42" t="s">
        <v>125</v>
      </c>
    </row>
    <row r="305" spans="1:3" x14ac:dyDescent="0.3">
      <c r="A305" s="43">
        <v>358205083575004</v>
      </c>
      <c r="B305" s="44">
        <v>45338.499895833331</v>
      </c>
      <c r="C305" s="45" t="s">
        <v>125</v>
      </c>
    </row>
    <row r="306" spans="1:3" x14ac:dyDescent="0.3">
      <c r="A306" s="40">
        <v>358205083575038</v>
      </c>
      <c r="B306" s="41">
        <v>45338.500243055554</v>
      </c>
      <c r="C306" s="42" t="s">
        <v>125</v>
      </c>
    </row>
    <row r="307" spans="1:3" x14ac:dyDescent="0.3">
      <c r="A307" s="43">
        <v>358205083586746</v>
      </c>
      <c r="B307" s="44">
        <v>45338.499976851854</v>
      </c>
      <c r="C307" s="45" t="s">
        <v>178</v>
      </c>
    </row>
    <row r="308" spans="1:3" x14ac:dyDescent="0.3">
      <c r="A308" s="40">
        <v>358205083586795</v>
      </c>
      <c r="B308" s="41">
        <v>45338.439884259256</v>
      </c>
      <c r="C308" s="42" t="s">
        <v>178</v>
      </c>
    </row>
    <row r="309" spans="1:3" x14ac:dyDescent="0.3">
      <c r="A309" s="43">
        <v>358205083586829</v>
      </c>
      <c r="B309" s="44">
        <v>45338.499814814815</v>
      </c>
      <c r="C309" s="45" t="s">
        <v>178</v>
      </c>
    </row>
    <row r="310" spans="1:3" x14ac:dyDescent="0.3">
      <c r="A310" s="40">
        <v>358205083587157</v>
      </c>
      <c r="B310" s="41">
        <v>45338.500196759262</v>
      </c>
      <c r="C310" s="42" t="s">
        <v>178</v>
      </c>
    </row>
    <row r="311" spans="1:3" x14ac:dyDescent="0.3">
      <c r="A311" s="43">
        <v>358205083587165</v>
      </c>
      <c r="B311" s="44">
        <v>45338.500081018516</v>
      </c>
      <c r="C311" s="45" t="s">
        <v>178</v>
      </c>
    </row>
    <row r="312" spans="1:3" x14ac:dyDescent="0.3">
      <c r="A312" s="40">
        <v>358205083587199</v>
      </c>
      <c r="B312" s="41">
        <v>45338.499895833331</v>
      </c>
      <c r="C312" s="42" t="s">
        <v>178</v>
      </c>
    </row>
    <row r="313" spans="1:3" x14ac:dyDescent="0.3">
      <c r="A313" s="43">
        <v>358205083587280</v>
      </c>
      <c r="B313" s="44">
        <v>45335.78125</v>
      </c>
      <c r="C313" s="45" t="s">
        <v>178</v>
      </c>
    </row>
    <row r="314" spans="1:3" x14ac:dyDescent="0.3">
      <c r="A314" s="40">
        <v>358205083587298</v>
      </c>
      <c r="B314" s="41">
        <v>45336.415451388886</v>
      </c>
      <c r="C314" s="42" t="s">
        <v>178</v>
      </c>
    </row>
    <row r="315" spans="1:3" x14ac:dyDescent="0.3">
      <c r="A315" s="43">
        <v>358205083587454</v>
      </c>
      <c r="B315" s="44">
        <v>45336.584930555553</v>
      </c>
      <c r="C315" s="45" t="s">
        <v>178</v>
      </c>
    </row>
    <row r="316" spans="1:3" x14ac:dyDescent="0.3">
      <c r="A316" s="40">
        <v>358205083587462</v>
      </c>
      <c r="B316" s="41">
        <v>45338.495949074073</v>
      </c>
      <c r="C316" s="42" t="s">
        <v>178</v>
      </c>
    </row>
    <row r="317" spans="1:3" x14ac:dyDescent="0.3">
      <c r="A317" s="43">
        <v>358205083587702</v>
      </c>
      <c r="B317" s="44">
        <v>45338.5002662037</v>
      </c>
      <c r="C317" s="45" t="s">
        <v>178</v>
      </c>
    </row>
    <row r="318" spans="1:3" x14ac:dyDescent="0.3">
      <c r="A318" s="40">
        <v>358205083588981</v>
      </c>
      <c r="B318" s="41">
        <v>45338.499861111108</v>
      </c>
      <c r="C318" s="42" t="s">
        <v>149</v>
      </c>
    </row>
    <row r="319" spans="1:3" x14ac:dyDescent="0.3">
      <c r="A319" s="43">
        <v>358205083589005</v>
      </c>
      <c r="B319" s="44">
        <v>45338.500138888892</v>
      </c>
      <c r="C319" s="45" t="s">
        <v>149</v>
      </c>
    </row>
    <row r="320" spans="1:3" x14ac:dyDescent="0.3">
      <c r="A320" s="40">
        <v>358205083589021</v>
      </c>
      <c r="B320" s="41">
        <v>45338.5</v>
      </c>
      <c r="C320" s="42" t="s">
        <v>149</v>
      </c>
    </row>
    <row r="321" spans="1:3" x14ac:dyDescent="0.3">
      <c r="A321" s="43">
        <v>358205083589203</v>
      </c>
      <c r="B321" s="44">
        <v>45338.499861111108</v>
      </c>
      <c r="C321" s="45" t="s">
        <v>149</v>
      </c>
    </row>
    <row r="322" spans="1:3" x14ac:dyDescent="0.3">
      <c r="A322" s="40">
        <v>358205084158644</v>
      </c>
      <c r="B322" s="41">
        <v>45336.450995370367</v>
      </c>
      <c r="C322" s="42" t="s">
        <v>178</v>
      </c>
    </row>
    <row r="323" spans="1:3" x14ac:dyDescent="0.3">
      <c r="A323" s="43">
        <v>358205084158651</v>
      </c>
      <c r="B323" s="44">
        <v>45338.499872685185</v>
      </c>
      <c r="C323" s="45" t="s">
        <v>178</v>
      </c>
    </row>
    <row r="324" spans="1:3" x14ac:dyDescent="0.3">
      <c r="A324" s="40">
        <v>358205084158735</v>
      </c>
      <c r="B324" s="41">
        <v>45338.499872685185</v>
      </c>
      <c r="C324" s="42" t="s">
        <v>178</v>
      </c>
    </row>
    <row r="325" spans="1:3" x14ac:dyDescent="0.3">
      <c r="A325" s="43">
        <v>358205084158859</v>
      </c>
      <c r="B325" s="44">
        <v>45338.484259259261</v>
      </c>
      <c r="C325" s="45" t="s">
        <v>178</v>
      </c>
    </row>
    <row r="326" spans="1:3" x14ac:dyDescent="0.3">
      <c r="A326" s="40">
        <v>358205084158867</v>
      </c>
      <c r="B326" s="41">
        <v>45338.5002662037</v>
      </c>
      <c r="C326" s="42" t="s">
        <v>178</v>
      </c>
    </row>
    <row r="327" spans="1:3" x14ac:dyDescent="0.3">
      <c r="A327" s="43">
        <v>358205084159170</v>
      </c>
      <c r="B327" s="44">
        <v>45338.500162037039</v>
      </c>
      <c r="C327" s="45" t="s">
        <v>178</v>
      </c>
    </row>
    <row r="328" spans="1:3" x14ac:dyDescent="0.3">
      <c r="A328" s="40">
        <v>358205084159238</v>
      </c>
      <c r="B328" s="41">
        <v>45336.270462962966</v>
      </c>
      <c r="C328" s="42" t="s">
        <v>178</v>
      </c>
    </row>
    <row r="329" spans="1:3" x14ac:dyDescent="0.3">
      <c r="A329" s="43">
        <v>358205084159261</v>
      </c>
      <c r="B329" s="44">
        <v>45338.500023148146</v>
      </c>
      <c r="C329" s="45" t="s">
        <v>178</v>
      </c>
    </row>
    <row r="330" spans="1:3" x14ac:dyDescent="0.3">
      <c r="A330" s="40">
        <v>358205084159568</v>
      </c>
      <c r="B330" s="41">
        <v>45338.434918981482</v>
      </c>
      <c r="C330" s="42" t="s">
        <v>178</v>
      </c>
    </row>
    <row r="331" spans="1:3" x14ac:dyDescent="0.3">
      <c r="A331" s="43">
        <v>358205084159642</v>
      </c>
      <c r="B331" s="44">
        <v>45338.499872685185</v>
      </c>
      <c r="C331" s="45" t="s">
        <v>178</v>
      </c>
    </row>
    <row r="332" spans="1:3" x14ac:dyDescent="0.3">
      <c r="A332" s="40">
        <v>358205084159766</v>
      </c>
      <c r="B332" s="41">
        <v>45338.5</v>
      </c>
      <c r="C332" s="42" t="s">
        <v>178</v>
      </c>
    </row>
    <row r="333" spans="1:3" x14ac:dyDescent="0.3">
      <c r="A333" s="43">
        <v>358205084159873</v>
      </c>
      <c r="B333" s="44">
        <v>45336.186759259261</v>
      </c>
      <c r="C333" s="45" t="s">
        <v>178</v>
      </c>
    </row>
    <row r="334" spans="1:3" x14ac:dyDescent="0.3">
      <c r="A334" s="40">
        <v>358205084159899</v>
      </c>
      <c r="B334" s="41">
        <v>45338.5</v>
      </c>
      <c r="C334" s="42" t="s">
        <v>178</v>
      </c>
    </row>
    <row r="335" spans="1:3" x14ac:dyDescent="0.3">
      <c r="A335" s="43">
        <v>358205084159915</v>
      </c>
      <c r="B335" s="44">
        <v>45336.333379629628</v>
      </c>
      <c r="C335" s="45" t="s">
        <v>178</v>
      </c>
    </row>
    <row r="336" spans="1:3" x14ac:dyDescent="0.3">
      <c r="A336" s="40">
        <v>358205084170805</v>
      </c>
      <c r="B336" s="41">
        <v>45338.429259259261</v>
      </c>
      <c r="C336" s="42" t="s">
        <v>178</v>
      </c>
    </row>
    <row r="337" spans="1:3" x14ac:dyDescent="0.3">
      <c r="A337" s="43">
        <v>358205084170870</v>
      </c>
      <c r="B337" s="44">
        <v>45338.479594907411</v>
      </c>
      <c r="C337" s="45" t="s">
        <v>178</v>
      </c>
    </row>
    <row r="338" spans="1:3" x14ac:dyDescent="0.3">
      <c r="A338" s="40">
        <v>358205084170888</v>
      </c>
      <c r="B338" s="41">
        <v>45336.317997685182</v>
      </c>
      <c r="C338" s="42" t="s">
        <v>178</v>
      </c>
    </row>
    <row r="339" spans="1:3" x14ac:dyDescent="0.3">
      <c r="A339" s="43">
        <v>358205084170920</v>
      </c>
      <c r="B339" s="44">
        <v>45337.305381944447</v>
      </c>
      <c r="C339" s="45" t="s">
        <v>178</v>
      </c>
    </row>
    <row r="340" spans="1:3" x14ac:dyDescent="0.3">
      <c r="A340" s="40">
        <v>358205084170953</v>
      </c>
      <c r="B340" s="41">
        <v>45338.500034722223</v>
      </c>
      <c r="C340" s="42" t="s">
        <v>178</v>
      </c>
    </row>
    <row r="341" spans="1:3" x14ac:dyDescent="0.3">
      <c r="A341" s="43">
        <v>358205084171134</v>
      </c>
      <c r="B341" s="44">
        <v>45338.007268518515</v>
      </c>
      <c r="C341" s="45" t="s">
        <v>178</v>
      </c>
    </row>
    <row r="342" spans="1:3" x14ac:dyDescent="0.3">
      <c r="A342" s="40">
        <v>358205084171332</v>
      </c>
      <c r="B342" s="41">
        <v>45337.347743055558</v>
      </c>
      <c r="C342" s="42" t="s">
        <v>178</v>
      </c>
    </row>
    <row r="343" spans="1:3" x14ac:dyDescent="0.3">
      <c r="A343" s="43">
        <v>358205084171365</v>
      </c>
      <c r="B343" s="44">
        <v>45337.716284722221</v>
      </c>
      <c r="C343" s="45" t="s">
        <v>178</v>
      </c>
    </row>
    <row r="344" spans="1:3" x14ac:dyDescent="0.3">
      <c r="A344" s="40">
        <v>358205084518086</v>
      </c>
      <c r="B344" s="41">
        <v>45338.4999537037</v>
      </c>
      <c r="C344" s="42" t="s">
        <v>178</v>
      </c>
    </row>
    <row r="345" spans="1:3" x14ac:dyDescent="0.3">
      <c r="A345" s="43">
        <v>358205084519944</v>
      </c>
      <c r="B345" s="44">
        <v>45337.506203703706</v>
      </c>
      <c r="C345" s="45" t="s">
        <v>178</v>
      </c>
    </row>
    <row r="346" spans="1:3" x14ac:dyDescent="0.3">
      <c r="A346" s="40">
        <v>358205084520256</v>
      </c>
      <c r="B346" s="41">
        <v>45338.500208333331</v>
      </c>
      <c r="C346" s="42" t="s">
        <v>178</v>
      </c>
    </row>
    <row r="347" spans="1:3" x14ac:dyDescent="0.3">
      <c r="A347" s="43">
        <v>358205084524928</v>
      </c>
      <c r="B347" s="44">
        <v>45338.128784722219</v>
      </c>
      <c r="C347" s="45" t="s">
        <v>178</v>
      </c>
    </row>
    <row r="348" spans="1:3" x14ac:dyDescent="0.3">
      <c r="A348" s="40">
        <v>358205084525099</v>
      </c>
      <c r="B348" s="41">
        <v>45338.500034722223</v>
      </c>
      <c r="C348" s="42" t="s">
        <v>178</v>
      </c>
    </row>
    <row r="349" spans="1:3" x14ac:dyDescent="0.3">
      <c r="A349" s="43">
        <v>358205084525347</v>
      </c>
      <c r="B349" s="44">
        <v>45338.499976851854</v>
      </c>
      <c r="C349" s="45" t="s">
        <v>178</v>
      </c>
    </row>
    <row r="350" spans="1:3" x14ac:dyDescent="0.3">
      <c r="A350" s="40">
        <v>358205084539108</v>
      </c>
      <c r="B350" s="41">
        <v>45338.499768518515</v>
      </c>
      <c r="C350" s="42" t="s">
        <v>178</v>
      </c>
    </row>
    <row r="351" spans="1:3" x14ac:dyDescent="0.3">
      <c r="A351" s="43">
        <v>358205084539553</v>
      </c>
      <c r="B351" s="44">
        <v>45338.499895833331</v>
      </c>
      <c r="C351" s="45" t="s">
        <v>178</v>
      </c>
    </row>
    <row r="352" spans="1:3" x14ac:dyDescent="0.3">
      <c r="A352" s="40">
        <v>358205086905109</v>
      </c>
      <c r="B352" s="41">
        <v>45338.499803240738</v>
      </c>
      <c r="C352" s="42" t="s">
        <v>43</v>
      </c>
    </row>
    <row r="353" spans="1:3" x14ac:dyDescent="0.3">
      <c r="A353" s="43">
        <v>358205086905323</v>
      </c>
      <c r="B353" s="44">
        <v>45337.462523148148</v>
      </c>
      <c r="C353" s="45" t="s">
        <v>43</v>
      </c>
    </row>
    <row r="354" spans="1:3" x14ac:dyDescent="0.3">
      <c r="A354" s="40">
        <v>358205086905679</v>
      </c>
      <c r="B354" s="41">
        <v>45338.500300925924</v>
      </c>
      <c r="C354" s="42" t="s">
        <v>43</v>
      </c>
    </row>
    <row r="355" spans="1:3" x14ac:dyDescent="0.3">
      <c r="A355" s="43">
        <v>358205086906644</v>
      </c>
      <c r="B355" s="44">
        <v>45338.500092592592</v>
      </c>
      <c r="C355" s="45" t="s">
        <v>43</v>
      </c>
    </row>
    <row r="356" spans="1:3" x14ac:dyDescent="0.3">
      <c r="A356" s="40">
        <v>358205086906677</v>
      </c>
      <c r="B356" s="41">
        <v>45337.550347222219</v>
      </c>
      <c r="C356" s="42" t="s">
        <v>43</v>
      </c>
    </row>
    <row r="357" spans="1:3" x14ac:dyDescent="0.3">
      <c r="A357" s="43">
        <v>358205086906719</v>
      </c>
      <c r="B357" s="44">
        <v>45338.493796296294</v>
      </c>
      <c r="C357" s="45" t="s">
        <v>43</v>
      </c>
    </row>
    <row r="358" spans="1:3" x14ac:dyDescent="0.3">
      <c r="A358" s="40">
        <v>358205086906727</v>
      </c>
      <c r="B358" s="41">
        <v>45338.499930555554</v>
      </c>
      <c r="C358" s="42" t="s">
        <v>43</v>
      </c>
    </row>
    <row r="359" spans="1:3" x14ac:dyDescent="0.3">
      <c r="A359" s="43">
        <v>358205086908269</v>
      </c>
      <c r="B359" s="44">
        <v>45338.5000462963</v>
      </c>
      <c r="C359" s="45" t="s">
        <v>43</v>
      </c>
    </row>
    <row r="360" spans="1:3" x14ac:dyDescent="0.3">
      <c r="A360" s="40">
        <v>358205086908335</v>
      </c>
      <c r="B360" s="41">
        <v>45338.499907407408</v>
      </c>
      <c r="C360" s="42" t="s">
        <v>43</v>
      </c>
    </row>
    <row r="361" spans="1:3" x14ac:dyDescent="0.3">
      <c r="A361" s="43">
        <v>358205086908400</v>
      </c>
      <c r="B361" s="44">
        <v>45337.425717592596</v>
      </c>
      <c r="C361" s="45" t="s">
        <v>43</v>
      </c>
    </row>
    <row r="362" spans="1:3" x14ac:dyDescent="0.3">
      <c r="A362" s="40">
        <v>358205086908608</v>
      </c>
      <c r="B362" s="41">
        <v>45338.499930555554</v>
      </c>
      <c r="C362" s="42" t="s">
        <v>43</v>
      </c>
    </row>
    <row r="363" spans="1:3" x14ac:dyDescent="0.3">
      <c r="A363" s="43">
        <v>358205086908889</v>
      </c>
      <c r="B363" s="44">
        <v>45338.499907407408</v>
      </c>
      <c r="C363" s="45" t="s">
        <v>43</v>
      </c>
    </row>
    <row r="364" spans="1:3" x14ac:dyDescent="0.3">
      <c r="A364" s="40">
        <v>358205086908996</v>
      </c>
      <c r="B364" s="41">
        <v>45338.499722222223</v>
      </c>
      <c r="C364" s="42" t="s">
        <v>43</v>
      </c>
    </row>
    <row r="365" spans="1:3" x14ac:dyDescent="0.3">
      <c r="A365" s="43">
        <v>358205086909010</v>
      </c>
      <c r="B365" s="44">
        <v>45338.497349537036</v>
      </c>
      <c r="C365" s="45" t="s">
        <v>43</v>
      </c>
    </row>
    <row r="366" spans="1:3" x14ac:dyDescent="0.3">
      <c r="A366" s="40">
        <v>358205086909093</v>
      </c>
      <c r="B366" s="41">
        <v>45338.500104166669</v>
      </c>
      <c r="C366" s="42" t="s">
        <v>43</v>
      </c>
    </row>
    <row r="367" spans="1:3" x14ac:dyDescent="0.3">
      <c r="A367" s="43">
        <v>358205086909663</v>
      </c>
      <c r="B367" s="44">
        <v>45338.500243055554</v>
      </c>
      <c r="C367" s="45" t="s">
        <v>43</v>
      </c>
    </row>
    <row r="368" spans="1:3" x14ac:dyDescent="0.3">
      <c r="A368" s="40">
        <v>358205086909960</v>
      </c>
      <c r="B368" s="41">
        <v>45338.492384259262</v>
      </c>
      <c r="C368" s="42" t="s">
        <v>43</v>
      </c>
    </row>
    <row r="369" spans="1:3" x14ac:dyDescent="0.3">
      <c r="A369" s="43">
        <v>358205086910869</v>
      </c>
      <c r="B369" s="44">
        <v>45338.499664351853</v>
      </c>
      <c r="C369" s="45" t="s">
        <v>43</v>
      </c>
    </row>
    <row r="370" spans="1:3" x14ac:dyDescent="0.3">
      <c r="A370" s="40">
        <v>358205086911081</v>
      </c>
      <c r="B370" s="41">
        <v>45338.499641203707</v>
      </c>
      <c r="C370" s="42" t="s">
        <v>43</v>
      </c>
    </row>
    <row r="371" spans="1:3" x14ac:dyDescent="0.3">
      <c r="A371" s="43">
        <v>358205086911214</v>
      </c>
      <c r="B371" s="44">
        <v>45338.499942129631</v>
      </c>
      <c r="C371" s="45" t="s">
        <v>43</v>
      </c>
    </row>
    <row r="372" spans="1:3" x14ac:dyDescent="0.3">
      <c r="A372" s="40">
        <v>358205086911230</v>
      </c>
      <c r="B372" s="41">
        <v>45338.500138888892</v>
      </c>
      <c r="C372" s="42" t="s">
        <v>43</v>
      </c>
    </row>
    <row r="373" spans="1:3" x14ac:dyDescent="0.3">
      <c r="A373" s="43">
        <v>358205086911362</v>
      </c>
      <c r="B373" s="44">
        <v>45338.497615740744</v>
      </c>
      <c r="C373" s="45" t="s">
        <v>43</v>
      </c>
    </row>
    <row r="374" spans="1:3" x14ac:dyDescent="0.3">
      <c r="A374" s="40">
        <v>358205086911370</v>
      </c>
      <c r="B374" s="41">
        <v>45338.369699074072</v>
      </c>
      <c r="C374" s="42" t="s">
        <v>43</v>
      </c>
    </row>
    <row r="375" spans="1:3" x14ac:dyDescent="0.3">
      <c r="A375" s="43">
        <v>358205086911537</v>
      </c>
      <c r="B375" s="44">
        <v>45338.499664351853</v>
      </c>
      <c r="C375" s="45" t="s">
        <v>43</v>
      </c>
    </row>
    <row r="376" spans="1:3" x14ac:dyDescent="0.3">
      <c r="A376" s="40">
        <v>358205086911628</v>
      </c>
      <c r="B376" s="41">
        <v>45338.500219907408</v>
      </c>
      <c r="C376" s="42" t="s">
        <v>43</v>
      </c>
    </row>
    <row r="377" spans="1:3" x14ac:dyDescent="0.3">
      <c r="A377" s="43">
        <v>358205086911743</v>
      </c>
      <c r="B377" s="44">
        <v>45338.499918981484</v>
      </c>
      <c r="C377" s="45" t="s">
        <v>43</v>
      </c>
    </row>
    <row r="378" spans="1:3" x14ac:dyDescent="0.3">
      <c r="A378" s="40">
        <v>358205086911784</v>
      </c>
      <c r="B378" s="41">
        <v>45338.500092592592</v>
      </c>
      <c r="C378" s="42" t="s">
        <v>43</v>
      </c>
    </row>
    <row r="379" spans="1:3" x14ac:dyDescent="0.3">
      <c r="A379" s="43">
        <v>358205086911842</v>
      </c>
      <c r="B379" s="44">
        <v>45338.500081018516</v>
      </c>
      <c r="C379" s="45" t="s">
        <v>43</v>
      </c>
    </row>
    <row r="380" spans="1:3" x14ac:dyDescent="0.3">
      <c r="A380" s="40">
        <v>358205086911941</v>
      </c>
      <c r="B380" s="41">
        <v>45338.5000462963</v>
      </c>
      <c r="C380" s="42" t="s">
        <v>43</v>
      </c>
    </row>
    <row r="381" spans="1:3" x14ac:dyDescent="0.3">
      <c r="A381" s="43">
        <v>358205086911966</v>
      </c>
      <c r="B381" s="44">
        <v>45338.500081018516</v>
      </c>
      <c r="C381" s="45" t="s">
        <v>43</v>
      </c>
    </row>
    <row r="382" spans="1:3" x14ac:dyDescent="0.3">
      <c r="A382" s="40">
        <v>358205086912287</v>
      </c>
      <c r="B382" s="41">
        <v>45338.5003125</v>
      </c>
      <c r="C382" s="42" t="s">
        <v>43</v>
      </c>
    </row>
    <row r="383" spans="1:3" x14ac:dyDescent="0.3">
      <c r="A383" s="43">
        <v>358205086912477</v>
      </c>
      <c r="B383" s="44">
        <v>45338.500034722223</v>
      </c>
      <c r="C383" s="45" t="s">
        <v>43</v>
      </c>
    </row>
    <row r="384" spans="1:3" x14ac:dyDescent="0.3">
      <c r="A384" s="40">
        <v>358205086912535</v>
      </c>
      <c r="B384" s="41">
        <v>45338.499907407408</v>
      </c>
      <c r="C384" s="42" t="s">
        <v>43</v>
      </c>
    </row>
    <row r="385" spans="1:3" x14ac:dyDescent="0.3">
      <c r="A385" s="43">
        <v>358205086912691</v>
      </c>
      <c r="B385" s="44">
        <v>45338.500092592592</v>
      </c>
      <c r="C385" s="45" t="s">
        <v>43</v>
      </c>
    </row>
    <row r="386" spans="1:3" x14ac:dyDescent="0.3">
      <c r="A386" s="40">
        <v>358205086913087</v>
      </c>
      <c r="B386" s="41">
        <v>45338.500254629631</v>
      </c>
      <c r="C386" s="42" t="s">
        <v>43</v>
      </c>
    </row>
    <row r="387" spans="1:3" x14ac:dyDescent="0.3">
      <c r="A387" s="43">
        <v>358205080898169</v>
      </c>
      <c r="B387" s="44">
        <v>45338.499895833331</v>
      </c>
      <c r="C387" s="45" t="s">
        <v>149</v>
      </c>
    </row>
    <row r="388" spans="1:3" x14ac:dyDescent="0.3">
      <c r="A388" s="40">
        <v>358205080898847</v>
      </c>
      <c r="B388" s="41">
        <v>45338.500300925924</v>
      </c>
      <c r="C388" s="42" t="s">
        <v>149</v>
      </c>
    </row>
    <row r="389" spans="1:3" x14ac:dyDescent="0.3">
      <c r="A389" s="43">
        <v>358205080898854</v>
      </c>
      <c r="B389" s="44">
        <v>45338.49962962963</v>
      </c>
      <c r="C389" s="45" t="s">
        <v>149</v>
      </c>
    </row>
    <row r="390" spans="1:3" x14ac:dyDescent="0.3">
      <c r="A390" s="40">
        <v>358205080899977</v>
      </c>
      <c r="B390" s="41">
        <v>45338.369606481479</v>
      </c>
      <c r="C390" s="42" t="s">
        <v>222</v>
      </c>
    </row>
    <row r="391" spans="1:3" x14ac:dyDescent="0.3">
      <c r="A391" s="43">
        <v>358205080900031</v>
      </c>
      <c r="B391" s="44">
        <v>45336.321898148148</v>
      </c>
      <c r="C391" s="45" t="s">
        <v>222</v>
      </c>
    </row>
    <row r="392" spans="1:3" x14ac:dyDescent="0.3">
      <c r="A392" s="40">
        <v>358205080899811</v>
      </c>
      <c r="B392" s="41">
        <v>45338.499652777777</v>
      </c>
      <c r="C392" s="42" t="s">
        <v>37</v>
      </c>
    </row>
    <row r="393" spans="1:3" x14ac:dyDescent="0.3">
      <c r="A393" s="43">
        <v>358205080903761</v>
      </c>
      <c r="B393" s="44">
        <v>45337.482175925928</v>
      </c>
      <c r="C393" s="45" t="s">
        <v>174</v>
      </c>
    </row>
    <row r="394" spans="1:3" x14ac:dyDescent="0.3">
      <c r="A394" s="40">
        <v>358205080899399</v>
      </c>
      <c r="B394" s="41">
        <v>45338.23814814815</v>
      </c>
      <c r="C394" s="42" t="s">
        <v>76</v>
      </c>
    </row>
    <row r="395" spans="1:3" x14ac:dyDescent="0.3">
      <c r="A395" s="43">
        <v>358205084522146</v>
      </c>
      <c r="B395" s="44">
        <v>45338.4999537037</v>
      </c>
      <c r="C395" s="45" t="s">
        <v>167</v>
      </c>
    </row>
    <row r="396" spans="1:3" x14ac:dyDescent="0.3">
      <c r="A396" s="40">
        <v>358205080902409</v>
      </c>
      <c r="B396" s="41">
        <v>45338.499699074076</v>
      </c>
      <c r="C396" s="42" t="s">
        <v>144</v>
      </c>
    </row>
    <row r="397" spans="1:3" x14ac:dyDescent="0.3">
      <c r="A397" s="43">
        <v>358205080616165</v>
      </c>
      <c r="B397" s="44">
        <v>45338.499791666669</v>
      </c>
      <c r="C397" s="45" t="s">
        <v>174</v>
      </c>
    </row>
    <row r="398" spans="1:3" x14ac:dyDescent="0.3">
      <c r="A398" s="40">
        <v>358205080616199</v>
      </c>
      <c r="B398" s="41">
        <v>45338.423136574071</v>
      </c>
      <c r="C398" s="42" t="s">
        <v>174</v>
      </c>
    </row>
    <row r="399" spans="1:3" x14ac:dyDescent="0.3">
      <c r="A399" s="43">
        <v>358205080616256</v>
      </c>
      <c r="B399" s="44">
        <v>45338.457129629627</v>
      </c>
      <c r="C399" s="45" t="s">
        <v>174</v>
      </c>
    </row>
    <row r="400" spans="1:3" x14ac:dyDescent="0.3">
      <c r="A400" s="40">
        <v>358205080845319</v>
      </c>
      <c r="B400" s="41">
        <v>45338.35665509259</v>
      </c>
      <c r="C400" s="42" t="s">
        <v>37</v>
      </c>
    </row>
    <row r="401" spans="1:3" x14ac:dyDescent="0.3">
      <c r="A401" s="43">
        <v>358205080845723</v>
      </c>
      <c r="B401" s="44">
        <v>45338.499988425923</v>
      </c>
      <c r="C401" s="45" t="s">
        <v>212</v>
      </c>
    </row>
    <row r="402" spans="1:3" x14ac:dyDescent="0.3">
      <c r="A402" s="40">
        <v>358205080845814</v>
      </c>
      <c r="B402" s="41">
        <v>45338.500162037039</v>
      </c>
      <c r="C402" s="42" t="s">
        <v>174</v>
      </c>
    </row>
    <row r="403" spans="1:3" x14ac:dyDescent="0.3">
      <c r="A403" s="43">
        <v>358205080845905</v>
      </c>
      <c r="B403" s="44">
        <v>45338.499756944446</v>
      </c>
      <c r="C403" s="45" t="s">
        <v>37</v>
      </c>
    </row>
    <row r="404" spans="1:3" x14ac:dyDescent="0.3">
      <c r="A404" s="40">
        <v>358205080846085</v>
      </c>
      <c r="B404" s="41">
        <v>45338.499907407408</v>
      </c>
      <c r="C404" s="42" t="s">
        <v>212</v>
      </c>
    </row>
    <row r="405" spans="1:3" x14ac:dyDescent="0.3">
      <c r="A405" s="43">
        <v>358205080846432</v>
      </c>
      <c r="B405" s="44">
        <v>45338.254756944443</v>
      </c>
      <c r="C405" s="45" t="s">
        <v>212</v>
      </c>
    </row>
    <row r="406" spans="1:3" x14ac:dyDescent="0.3">
      <c r="A406" s="40">
        <v>358205080846531</v>
      </c>
      <c r="B406" s="41">
        <v>45338.368101851855</v>
      </c>
      <c r="C406" s="42" t="s">
        <v>37</v>
      </c>
    </row>
    <row r="407" spans="1:3" x14ac:dyDescent="0.3">
      <c r="A407" s="43">
        <v>358205080846655</v>
      </c>
      <c r="B407" s="44">
        <v>45338.500300925924</v>
      </c>
      <c r="C407" s="45" t="s">
        <v>212</v>
      </c>
    </row>
    <row r="408" spans="1:3" x14ac:dyDescent="0.3">
      <c r="A408" s="40">
        <v>358205080846770</v>
      </c>
      <c r="B408" s="41">
        <v>45338.338831018518</v>
      </c>
      <c r="C408" s="42" t="s">
        <v>37</v>
      </c>
    </row>
    <row r="409" spans="1:3" x14ac:dyDescent="0.3">
      <c r="A409" s="43">
        <v>358205080846887</v>
      </c>
      <c r="B409" s="44">
        <v>45338.499780092592</v>
      </c>
      <c r="C409" s="45" t="s">
        <v>212</v>
      </c>
    </row>
    <row r="410" spans="1:3" x14ac:dyDescent="0.3">
      <c r="A410" s="40">
        <v>358205080847042</v>
      </c>
      <c r="B410" s="41">
        <v>45337.308518518519</v>
      </c>
      <c r="C410" s="42" t="s">
        <v>212</v>
      </c>
    </row>
    <row r="411" spans="1:3" x14ac:dyDescent="0.3">
      <c r="A411" s="43">
        <v>358205080847224</v>
      </c>
      <c r="B411" s="44">
        <v>45338.499791666669</v>
      </c>
      <c r="C411" s="45" t="s">
        <v>162</v>
      </c>
    </row>
    <row r="412" spans="1:3" x14ac:dyDescent="0.3">
      <c r="A412" s="40">
        <v>358205080847240</v>
      </c>
      <c r="B412" s="41">
        <v>45338.499849537038</v>
      </c>
      <c r="C412" s="42" t="s">
        <v>162</v>
      </c>
    </row>
    <row r="413" spans="1:3" x14ac:dyDescent="0.3">
      <c r="A413" s="43">
        <v>358205080847257</v>
      </c>
      <c r="B413" s="44">
        <v>45337.336134259262</v>
      </c>
      <c r="C413" s="45" t="s">
        <v>212</v>
      </c>
    </row>
    <row r="414" spans="1:3" x14ac:dyDescent="0.3">
      <c r="A414" s="40">
        <v>358205080847281</v>
      </c>
      <c r="B414" s="41">
        <v>45338.499780092592</v>
      </c>
      <c r="C414" s="42" t="s">
        <v>212</v>
      </c>
    </row>
    <row r="415" spans="1:3" x14ac:dyDescent="0.3">
      <c r="A415" s="43">
        <v>358205080863940</v>
      </c>
      <c r="B415" s="44">
        <v>45338.500162037039</v>
      </c>
      <c r="C415" s="45" t="s">
        <v>174</v>
      </c>
    </row>
    <row r="416" spans="1:3" x14ac:dyDescent="0.3">
      <c r="A416" s="40">
        <v>358205080864237</v>
      </c>
      <c r="B416" s="41">
        <v>45338.499861111108</v>
      </c>
      <c r="C416" s="42" t="s">
        <v>174</v>
      </c>
    </row>
    <row r="417" spans="1:3" x14ac:dyDescent="0.3">
      <c r="A417" s="43">
        <v>358205080864260</v>
      </c>
      <c r="B417" s="44">
        <v>45338.500138888892</v>
      </c>
      <c r="C417" s="45" t="s">
        <v>174</v>
      </c>
    </row>
    <row r="418" spans="1:3" x14ac:dyDescent="0.3">
      <c r="A418" s="40">
        <v>358205080864302</v>
      </c>
      <c r="B418" s="41">
        <v>45338.500219907408</v>
      </c>
      <c r="C418" s="42" t="s">
        <v>174</v>
      </c>
    </row>
    <row r="419" spans="1:3" x14ac:dyDescent="0.3">
      <c r="A419" s="43">
        <v>358205080871596</v>
      </c>
      <c r="B419" s="44">
        <v>45338.500127314815</v>
      </c>
      <c r="C419" s="45" t="s">
        <v>37</v>
      </c>
    </row>
    <row r="420" spans="1:3" x14ac:dyDescent="0.3">
      <c r="A420" s="40">
        <v>358205080871711</v>
      </c>
      <c r="B420" s="41">
        <v>45338.500115740739</v>
      </c>
      <c r="C420" s="42" t="s">
        <v>37</v>
      </c>
    </row>
    <row r="421" spans="1:3" x14ac:dyDescent="0.3">
      <c r="A421" s="43">
        <v>358205080871752</v>
      </c>
      <c r="B421" s="44">
        <v>45338.499675925923</v>
      </c>
      <c r="C421" s="45" t="s">
        <v>37</v>
      </c>
    </row>
    <row r="422" spans="1:3" x14ac:dyDescent="0.3">
      <c r="A422" s="40">
        <v>358205080871786</v>
      </c>
      <c r="B422" s="41">
        <v>45338.499826388892</v>
      </c>
      <c r="C422" s="42" t="s">
        <v>37</v>
      </c>
    </row>
    <row r="423" spans="1:3" x14ac:dyDescent="0.3">
      <c r="A423" s="43">
        <v>358205080871885</v>
      </c>
      <c r="B423" s="44">
        <v>45338.500034722223</v>
      </c>
      <c r="C423" s="45" t="s">
        <v>37</v>
      </c>
    </row>
    <row r="424" spans="1:3" x14ac:dyDescent="0.3">
      <c r="A424" s="40">
        <v>358205080871950</v>
      </c>
      <c r="B424" s="41">
        <v>45338.499745370369</v>
      </c>
      <c r="C424" s="42" t="s">
        <v>37</v>
      </c>
    </row>
    <row r="425" spans="1:3" x14ac:dyDescent="0.3">
      <c r="A425" s="43">
        <v>358205080871976</v>
      </c>
      <c r="B425" s="44">
        <v>45338.499618055554</v>
      </c>
      <c r="C425" s="45" t="s">
        <v>37</v>
      </c>
    </row>
    <row r="426" spans="1:3" x14ac:dyDescent="0.3">
      <c r="A426" s="40">
        <v>358205080871984</v>
      </c>
      <c r="B426" s="41">
        <v>45338.499884259261</v>
      </c>
      <c r="C426" s="42" t="s">
        <v>174</v>
      </c>
    </row>
    <row r="427" spans="1:3" x14ac:dyDescent="0.3">
      <c r="A427" s="43">
        <v>358205080871992</v>
      </c>
      <c r="B427" s="44">
        <v>45338.215868055559</v>
      </c>
      <c r="C427" s="45" t="s">
        <v>37</v>
      </c>
    </row>
    <row r="428" spans="1:3" x14ac:dyDescent="0.3">
      <c r="A428" s="40">
        <v>358205080872024</v>
      </c>
      <c r="B428" s="41">
        <v>45338.190717592595</v>
      </c>
      <c r="C428" s="42" t="s">
        <v>37</v>
      </c>
    </row>
    <row r="429" spans="1:3" x14ac:dyDescent="0.3">
      <c r="A429" s="43">
        <v>358205080872032</v>
      </c>
      <c r="B429" s="44">
        <v>45336.545115740744</v>
      </c>
      <c r="C429" s="45" t="s">
        <v>37</v>
      </c>
    </row>
    <row r="430" spans="1:3" x14ac:dyDescent="0.3">
      <c r="A430" s="40">
        <v>358205080883732</v>
      </c>
      <c r="B430" s="41">
        <v>45338.461030092592</v>
      </c>
      <c r="C430" s="42" t="s">
        <v>37</v>
      </c>
    </row>
    <row r="431" spans="1:3" x14ac:dyDescent="0.3">
      <c r="A431" s="43">
        <v>358205080883773</v>
      </c>
      <c r="B431" s="44">
        <v>45338.285370370373</v>
      </c>
      <c r="C431" s="45" t="s">
        <v>37</v>
      </c>
    </row>
    <row r="432" spans="1:3" x14ac:dyDescent="0.3">
      <c r="A432" s="40">
        <v>358205080883880</v>
      </c>
      <c r="B432" s="41">
        <v>45338.5003125</v>
      </c>
      <c r="C432" s="42" t="s">
        <v>76</v>
      </c>
    </row>
    <row r="433" spans="1:3" x14ac:dyDescent="0.3">
      <c r="A433" s="43">
        <v>358205080883955</v>
      </c>
      <c r="B433" s="44">
        <v>45338.499791666669</v>
      </c>
      <c r="C433" s="45" t="s">
        <v>76</v>
      </c>
    </row>
    <row r="434" spans="1:3" x14ac:dyDescent="0.3">
      <c r="A434" s="40">
        <v>358205080888798</v>
      </c>
      <c r="B434" s="41">
        <v>45338.500219907408</v>
      </c>
      <c r="C434" s="42" t="s">
        <v>37</v>
      </c>
    </row>
    <row r="435" spans="1:3" x14ac:dyDescent="0.3">
      <c r="A435" s="43">
        <v>358205080888822</v>
      </c>
      <c r="B435" s="44">
        <v>45337.234884259262</v>
      </c>
      <c r="C435" s="45" t="s">
        <v>37</v>
      </c>
    </row>
    <row r="436" spans="1:3" x14ac:dyDescent="0.3">
      <c r="A436" s="40">
        <v>358205080888871</v>
      </c>
      <c r="B436" s="41">
        <v>45338.269525462965</v>
      </c>
      <c r="C436" s="42" t="s">
        <v>212</v>
      </c>
    </row>
    <row r="437" spans="1:3" x14ac:dyDescent="0.3">
      <c r="A437" s="43">
        <v>358205080888913</v>
      </c>
      <c r="B437" s="44">
        <v>45338.443680555552</v>
      </c>
      <c r="C437" s="45" t="s">
        <v>212</v>
      </c>
    </row>
    <row r="438" spans="1:3" x14ac:dyDescent="0.3">
      <c r="A438" s="40">
        <v>358205080888996</v>
      </c>
      <c r="B438" s="41">
        <v>45338.500115740739</v>
      </c>
      <c r="C438" s="42" t="s">
        <v>212</v>
      </c>
    </row>
    <row r="439" spans="1:3" x14ac:dyDescent="0.3">
      <c r="A439" s="43">
        <v>358205080889325</v>
      </c>
      <c r="B439" s="44">
        <v>45338.253900462965</v>
      </c>
      <c r="C439" s="45" t="s">
        <v>76</v>
      </c>
    </row>
    <row r="440" spans="1:3" x14ac:dyDescent="0.3">
      <c r="A440" s="40">
        <v>358205080889333</v>
      </c>
      <c r="B440" s="41">
        <v>45337.411886574075</v>
      </c>
      <c r="C440" s="42" t="s">
        <v>76</v>
      </c>
    </row>
    <row r="441" spans="1:3" x14ac:dyDescent="0.3">
      <c r="A441" s="43">
        <v>358205080890141</v>
      </c>
      <c r="B441" s="44">
        <v>45336.534236111111</v>
      </c>
      <c r="C441" s="45" t="s">
        <v>37</v>
      </c>
    </row>
    <row r="442" spans="1:3" x14ac:dyDescent="0.3">
      <c r="A442" s="40">
        <v>358205080890786</v>
      </c>
      <c r="B442" s="41">
        <v>45338.355613425927</v>
      </c>
      <c r="C442" s="42" t="s">
        <v>37</v>
      </c>
    </row>
    <row r="443" spans="1:3" x14ac:dyDescent="0.3">
      <c r="A443" s="43">
        <v>358205080891248</v>
      </c>
      <c r="B443" s="44">
        <v>45338.499895833331</v>
      </c>
      <c r="C443" s="45" t="s">
        <v>37</v>
      </c>
    </row>
    <row r="444" spans="1:3" x14ac:dyDescent="0.3">
      <c r="A444" s="40">
        <v>358205080897625</v>
      </c>
      <c r="B444" s="41">
        <v>45338.5000462963</v>
      </c>
      <c r="C444" s="42" t="s">
        <v>174</v>
      </c>
    </row>
    <row r="445" spans="1:3" x14ac:dyDescent="0.3">
      <c r="A445" s="43">
        <v>358205080897930</v>
      </c>
      <c r="B445" s="44">
        <v>45338.499710648146</v>
      </c>
      <c r="C445" s="45" t="s">
        <v>37</v>
      </c>
    </row>
    <row r="446" spans="1:3" x14ac:dyDescent="0.3">
      <c r="A446" s="40">
        <v>358205080897989</v>
      </c>
      <c r="B446" s="41">
        <v>45338.499849537038</v>
      </c>
      <c r="C446" s="42" t="s">
        <v>37</v>
      </c>
    </row>
    <row r="447" spans="1:3" x14ac:dyDescent="0.3">
      <c r="A447" s="43">
        <v>358205080898037</v>
      </c>
      <c r="B447" s="44">
        <v>45338.315706018519</v>
      </c>
      <c r="C447" s="45" t="s">
        <v>76</v>
      </c>
    </row>
    <row r="448" spans="1:3" x14ac:dyDescent="0.3">
      <c r="A448" s="40">
        <v>358205080898144</v>
      </c>
      <c r="B448" s="41">
        <v>45338.452662037038</v>
      </c>
      <c r="C448" s="42" t="s">
        <v>37</v>
      </c>
    </row>
    <row r="449" spans="1:3" x14ac:dyDescent="0.3">
      <c r="A449" s="43">
        <v>358205080898151</v>
      </c>
      <c r="B449" s="44">
        <v>45337.210081018522</v>
      </c>
      <c r="C449" s="45" t="s">
        <v>37</v>
      </c>
    </row>
    <row r="450" spans="1:3" x14ac:dyDescent="0.3">
      <c r="A450" s="40">
        <v>358205080898193</v>
      </c>
      <c r="B450" s="41">
        <v>45338.499803240738</v>
      </c>
      <c r="C450" s="42" t="s">
        <v>37</v>
      </c>
    </row>
    <row r="451" spans="1:3" x14ac:dyDescent="0.3">
      <c r="A451" s="43">
        <v>358205080898201</v>
      </c>
      <c r="B451" s="44">
        <v>45338.499722222223</v>
      </c>
      <c r="C451" s="45" t="s">
        <v>37</v>
      </c>
    </row>
    <row r="452" spans="1:3" x14ac:dyDescent="0.3">
      <c r="A452" s="40">
        <v>358205080898292</v>
      </c>
      <c r="B452" s="41">
        <v>45338.5002662037</v>
      </c>
      <c r="C452" s="42" t="s">
        <v>76</v>
      </c>
    </row>
    <row r="453" spans="1:3" x14ac:dyDescent="0.3">
      <c r="A453" s="43">
        <v>358205080898326</v>
      </c>
      <c r="B453" s="44">
        <v>45338.487615740742</v>
      </c>
      <c r="C453" s="45" t="s">
        <v>37</v>
      </c>
    </row>
    <row r="454" spans="1:3" x14ac:dyDescent="0.3">
      <c r="A454" s="40">
        <v>358205080898417</v>
      </c>
      <c r="B454" s="41">
        <v>45338.261469907404</v>
      </c>
      <c r="C454" s="42" t="s">
        <v>76</v>
      </c>
    </row>
    <row r="455" spans="1:3" x14ac:dyDescent="0.3">
      <c r="A455" s="43">
        <v>358205080898524</v>
      </c>
      <c r="B455" s="44">
        <v>45338.322372685187</v>
      </c>
      <c r="C455" s="45" t="s">
        <v>76</v>
      </c>
    </row>
    <row r="456" spans="1:3" x14ac:dyDescent="0.3">
      <c r="A456" s="40">
        <v>358205080898573</v>
      </c>
      <c r="B456" s="41">
        <v>45338.299166666664</v>
      </c>
      <c r="C456" s="42" t="s">
        <v>76</v>
      </c>
    </row>
    <row r="457" spans="1:3" x14ac:dyDescent="0.3">
      <c r="A457" s="43">
        <v>358205080898607</v>
      </c>
      <c r="B457" s="44">
        <v>45338.499641203707</v>
      </c>
      <c r="C457" s="45" t="s">
        <v>37</v>
      </c>
    </row>
    <row r="458" spans="1:3" x14ac:dyDescent="0.3">
      <c r="A458" s="40">
        <v>358205080898649</v>
      </c>
      <c r="B458" s="41">
        <v>45338.479039351849</v>
      </c>
      <c r="C458" s="42" t="s">
        <v>76</v>
      </c>
    </row>
    <row r="459" spans="1:3" x14ac:dyDescent="0.3">
      <c r="A459" s="43">
        <v>358205080898664</v>
      </c>
      <c r="B459" s="44">
        <v>45337.415601851855</v>
      </c>
      <c r="C459" s="45" t="s">
        <v>76</v>
      </c>
    </row>
    <row r="460" spans="1:3" x14ac:dyDescent="0.3">
      <c r="A460" s="40">
        <v>358205080898672</v>
      </c>
      <c r="B460" s="41">
        <v>45337.235914351855</v>
      </c>
      <c r="C460" s="42" t="s">
        <v>76</v>
      </c>
    </row>
    <row r="461" spans="1:3" x14ac:dyDescent="0.3">
      <c r="A461" s="43">
        <v>358205080898680</v>
      </c>
      <c r="B461" s="44">
        <v>45336.271979166668</v>
      </c>
      <c r="C461" s="45" t="s">
        <v>76</v>
      </c>
    </row>
    <row r="462" spans="1:3" x14ac:dyDescent="0.3">
      <c r="A462" s="40">
        <v>358205080898706</v>
      </c>
      <c r="B462" s="41">
        <v>45338.499837962961</v>
      </c>
      <c r="C462" s="42" t="s">
        <v>76</v>
      </c>
    </row>
    <row r="463" spans="1:3" x14ac:dyDescent="0.3">
      <c r="A463" s="43">
        <v>358205080898839</v>
      </c>
      <c r="B463" s="44">
        <v>45336.517465277779</v>
      </c>
      <c r="C463" s="45" t="s">
        <v>76</v>
      </c>
    </row>
    <row r="464" spans="1:3" x14ac:dyDescent="0.3">
      <c r="A464" s="40">
        <v>358205080898938</v>
      </c>
      <c r="B464" s="41">
        <v>45338.357870370368</v>
      </c>
      <c r="C464" s="42" t="s">
        <v>37</v>
      </c>
    </row>
    <row r="465" spans="1:3" x14ac:dyDescent="0.3">
      <c r="A465" s="43">
        <v>358205080898953</v>
      </c>
      <c r="B465" s="44">
        <v>45338.500057870369</v>
      </c>
      <c r="C465" s="45" t="s">
        <v>76</v>
      </c>
    </row>
    <row r="466" spans="1:3" x14ac:dyDescent="0.3">
      <c r="A466" s="40">
        <v>358205080898961</v>
      </c>
      <c r="B466" s="41">
        <v>45338.500092592592</v>
      </c>
      <c r="C466" s="42" t="s">
        <v>37</v>
      </c>
    </row>
    <row r="467" spans="1:3" x14ac:dyDescent="0.3">
      <c r="A467" s="43">
        <v>358205080899019</v>
      </c>
      <c r="B467" s="44">
        <v>45338.499965277777</v>
      </c>
      <c r="C467" s="45" t="s">
        <v>37</v>
      </c>
    </row>
    <row r="468" spans="1:3" x14ac:dyDescent="0.3">
      <c r="A468" s="40">
        <v>358205080899118</v>
      </c>
      <c r="B468" s="41">
        <v>45338.499837962961</v>
      </c>
      <c r="C468" s="42" t="s">
        <v>76</v>
      </c>
    </row>
    <row r="469" spans="1:3" x14ac:dyDescent="0.3">
      <c r="A469" s="43">
        <v>358205080899365</v>
      </c>
      <c r="B469" s="44">
        <v>45338.500069444446</v>
      </c>
      <c r="C469" s="45" t="s">
        <v>76</v>
      </c>
    </row>
    <row r="470" spans="1:3" x14ac:dyDescent="0.3">
      <c r="A470" s="40">
        <v>358205080899373</v>
      </c>
      <c r="B470" s="41">
        <v>45338.500243055554</v>
      </c>
      <c r="C470" s="42" t="s">
        <v>76</v>
      </c>
    </row>
    <row r="471" spans="1:3" x14ac:dyDescent="0.3">
      <c r="A471" s="43">
        <v>358205080899837</v>
      </c>
      <c r="B471" s="44">
        <v>45337.472118055557</v>
      </c>
      <c r="C471" s="45" t="s">
        <v>76</v>
      </c>
    </row>
    <row r="472" spans="1:3" x14ac:dyDescent="0.3">
      <c r="A472" s="40">
        <v>358205080899944</v>
      </c>
      <c r="B472" s="41">
        <v>45337.412118055552</v>
      </c>
      <c r="C472" s="42" t="s">
        <v>76</v>
      </c>
    </row>
    <row r="473" spans="1:3" x14ac:dyDescent="0.3">
      <c r="A473" s="43">
        <v>358205080900007</v>
      </c>
      <c r="B473" s="44">
        <v>45337.407569444447</v>
      </c>
      <c r="C473" s="45" t="s">
        <v>76</v>
      </c>
    </row>
    <row r="474" spans="1:3" x14ac:dyDescent="0.3">
      <c r="A474" s="40">
        <v>358205080900015</v>
      </c>
      <c r="B474" s="41">
        <v>45337.409861111111</v>
      </c>
      <c r="C474" s="42" t="s">
        <v>76</v>
      </c>
    </row>
    <row r="475" spans="1:3" x14ac:dyDescent="0.3">
      <c r="A475" s="43">
        <v>358205080900023</v>
      </c>
      <c r="B475" s="44">
        <v>45338.323298611111</v>
      </c>
      <c r="C475" s="45" t="s">
        <v>76</v>
      </c>
    </row>
    <row r="476" spans="1:3" x14ac:dyDescent="0.3">
      <c r="A476" s="40">
        <v>358205080900072</v>
      </c>
      <c r="B476" s="41">
        <v>45338.499976851854</v>
      </c>
      <c r="C476" s="42" t="s">
        <v>76</v>
      </c>
    </row>
    <row r="477" spans="1:3" x14ac:dyDescent="0.3">
      <c r="A477" s="43">
        <v>358205080902052</v>
      </c>
      <c r="B477" s="44">
        <v>45337.411539351851</v>
      </c>
      <c r="C477" s="45" t="s">
        <v>76</v>
      </c>
    </row>
    <row r="478" spans="1:3" x14ac:dyDescent="0.3">
      <c r="A478" s="40">
        <v>358205080902151</v>
      </c>
      <c r="B478" s="41">
        <v>45338.499976851854</v>
      </c>
      <c r="C478" s="42" t="s">
        <v>76</v>
      </c>
    </row>
    <row r="479" spans="1:3" x14ac:dyDescent="0.3">
      <c r="A479" s="43">
        <v>358205080902235</v>
      </c>
      <c r="B479" s="44">
        <v>45338.500162037039</v>
      </c>
      <c r="C479" s="45" t="s">
        <v>144</v>
      </c>
    </row>
    <row r="480" spans="1:3" x14ac:dyDescent="0.3">
      <c r="A480" s="40">
        <v>358205080902490</v>
      </c>
      <c r="B480" s="41">
        <v>45338.499745370369</v>
      </c>
      <c r="C480" s="42" t="s">
        <v>167</v>
      </c>
    </row>
    <row r="481" spans="1:3" x14ac:dyDescent="0.3">
      <c r="A481" s="43">
        <v>358205080902565</v>
      </c>
      <c r="B481" s="44">
        <v>45338.500219907408</v>
      </c>
      <c r="C481" s="45" t="s">
        <v>37</v>
      </c>
    </row>
    <row r="482" spans="1:3" x14ac:dyDescent="0.3">
      <c r="A482" s="40">
        <v>358205080902573</v>
      </c>
      <c r="B482" s="41">
        <v>45338.500185185185</v>
      </c>
      <c r="C482" s="42" t="s">
        <v>37</v>
      </c>
    </row>
    <row r="483" spans="1:3" x14ac:dyDescent="0.3">
      <c r="A483" s="43">
        <v>358205080902664</v>
      </c>
      <c r="B483" s="44">
        <v>45338.448935185188</v>
      </c>
      <c r="C483" s="45" t="s">
        <v>37</v>
      </c>
    </row>
    <row r="484" spans="1:3" x14ac:dyDescent="0.3">
      <c r="A484" s="40">
        <v>358205080902672</v>
      </c>
      <c r="B484" s="41">
        <v>45338.499861111108</v>
      </c>
      <c r="C484" s="42" t="s">
        <v>37</v>
      </c>
    </row>
    <row r="485" spans="1:3" x14ac:dyDescent="0.3">
      <c r="A485" s="43">
        <v>358205080902730</v>
      </c>
      <c r="B485" s="44">
        <v>45338.500162037039</v>
      </c>
      <c r="C485" s="45" t="s">
        <v>37</v>
      </c>
    </row>
    <row r="486" spans="1:3" x14ac:dyDescent="0.3">
      <c r="A486" s="40">
        <v>358205080902888</v>
      </c>
      <c r="B486" s="41">
        <v>45337.568599537037</v>
      </c>
      <c r="C486" s="42" t="s">
        <v>212</v>
      </c>
    </row>
    <row r="487" spans="1:3" x14ac:dyDescent="0.3">
      <c r="A487" s="43">
        <v>358205080902961</v>
      </c>
      <c r="B487" s="44">
        <v>45338.500092592592</v>
      </c>
      <c r="C487" s="45" t="s">
        <v>174</v>
      </c>
    </row>
    <row r="488" spans="1:3" x14ac:dyDescent="0.3">
      <c r="A488" s="40">
        <v>358205080903001</v>
      </c>
      <c r="B488" s="41">
        <v>45338.482199074075</v>
      </c>
      <c r="C488" s="42" t="s">
        <v>174</v>
      </c>
    </row>
    <row r="489" spans="1:3" x14ac:dyDescent="0.3">
      <c r="A489" s="43">
        <v>358205080903027</v>
      </c>
      <c r="B489" s="44">
        <v>45336.573298611111</v>
      </c>
      <c r="C489" s="45" t="s">
        <v>174</v>
      </c>
    </row>
    <row r="490" spans="1:3" x14ac:dyDescent="0.3">
      <c r="A490" s="40">
        <v>358205080903035</v>
      </c>
      <c r="B490" s="41">
        <v>45338.500162037039</v>
      </c>
      <c r="C490" s="42" t="s">
        <v>174</v>
      </c>
    </row>
    <row r="491" spans="1:3" x14ac:dyDescent="0.3">
      <c r="A491" s="43">
        <v>358205080903092</v>
      </c>
      <c r="B491" s="44">
        <v>45338.499872685185</v>
      </c>
      <c r="C491" s="45" t="s">
        <v>212</v>
      </c>
    </row>
    <row r="492" spans="1:3" x14ac:dyDescent="0.3">
      <c r="A492" s="40">
        <v>358205080903456</v>
      </c>
      <c r="B492" s="41">
        <v>45338.5</v>
      </c>
      <c r="C492" s="42" t="s">
        <v>37</v>
      </c>
    </row>
    <row r="493" spans="1:3" x14ac:dyDescent="0.3">
      <c r="A493" s="43">
        <v>358205080903498</v>
      </c>
      <c r="B493" s="44">
        <v>45338.499652777777</v>
      </c>
      <c r="C493" s="45" t="s">
        <v>144</v>
      </c>
    </row>
    <row r="494" spans="1:3" x14ac:dyDescent="0.3">
      <c r="A494" s="40">
        <v>358205080903506</v>
      </c>
      <c r="B494" s="41">
        <v>45338.4997337963</v>
      </c>
      <c r="C494" s="42" t="s">
        <v>144</v>
      </c>
    </row>
    <row r="495" spans="1:3" x14ac:dyDescent="0.3">
      <c r="A495" s="43">
        <v>358205080903514</v>
      </c>
      <c r="B495" s="44">
        <v>45336.603159722225</v>
      </c>
      <c r="C495" s="45" t="s">
        <v>144</v>
      </c>
    </row>
    <row r="496" spans="1:3" x14ac:dyDescent="0.3">
      <c r="A496" s="40">
        <v>358205080903597</v>
      </c>
      <c r="B496" s="41">
        <v>45337.493657407409</v>
      </c>
      <c r="C496" s="42" t="s">
        <v>144</v>
      </c>
    </row>
    <row r="497" spans="1:3" x14ac:dyDescent="0.3">
      <c r="A497" s="43">
        <v>358205080903605</v>
      </c>
      <c r="B497" s="44">
        <v>45337.575833333336</v>
      </c>
      <c r="C497" s="45" t="s">
        <v>144</v>
      </c>
    </row>
    <row r="498" spans="1:3" x14ac:dyDescent="0.3">
      <c r="A498" s="40">
        <v>358205080903654</v>
      </c>
      <c r="B498" s="41">
        <v>45338.499965277777</v>
      </c>
      <c r="C498" s="42" t="s">
        <v>174</v>
      </c>
    </row>
    <row r="499" spans="1:3" x14ac:dyDescent="0.3">
      <c r="A499" s="43">
        <v>358205080903712</v>
      </c>
      <c r="B499" s="44">
        <v>45338.500023148146</v>
      </c>
      <c r="C499" s="45" t="s">
        <v>212</v>
      </c>
    </row>
    <row r="500" spans="1:3" x14ac:dyDescent="0.3">
      <c r="A500" s="40">
        <v>358205080903738</v>
      </c>
      <c r="B500" s="41">
        <v>45338.226018518515</v>
      </c>
      <c r="C500" s="42" t="s">
        <v>212</v>
      </c>
    </row>
    <row r="501" spans="1:3" x14ac:dyDescent="0.3">
      <c r="A501" s="43">
        <v>358205080903795</v>
      </c>
      <c r="B501" s="44">
        <v>45338.499722222223</v>
      </c>
      <c r="C501" s="45" t="s">
        <v>212</v>
      </c>
    </row>
    <row r="502" spans="1:3" x14ac:dyDescent="0.3">
      <c r="A502" s="40">
        <v>358205080903803</v>
      </c>
      <c r="B502" s="41">
        <v>45338.4997337963</v>
      </c>
      <c r="C502" s="42" t="s">
        <v>212</v>
      </c>
    </row>
    <row r="503" spans="1:3" x14ac:dyDescent="0.3">
      <c r="A503" s="43">
        <v>358205080903837</v>
      </c>
      <c r="B503" s="44">
        <v>45338.500081018516</v>
      </c>
      <c r="C503" s="45" t="s">
        <v>212</v>
      </c>
    </row>
    <row r="504" spans="1:3" x14ac:dyDescent="0.3">
      <c r="A504" s="40">
        <v>358205080903852</v>
      </c>
      <c r="B504" s="41">
        <v>45338.5002662037</v>
      </c>
      <c r="C504" s="42" t="s">
        <v>212</v>
      </c>
    </row>
    <row r="505" spans="1:3" x14ac:dyDescent="0.3">
      <c r="A505" s="43">
        <v>358205080903894</v>
      </c>
      <c r="B505" s="44">
        <v>45338.500104166669</v>
      </c>
      <c r="C505" s="45" t="s">
        <v>37</v>
      </c>
    </row>
    <row r="506" spans="1:3" x14ac:dyDescent="0.3">
      <c r="A506" s="40">
        <v>358205080904116</v>
      </c>
      <c r="B506" s="41">
        <v>45338.499722222223</v>
      </c>
      <c r="C506" s="42" t="s">
        <v>144</v>
      </c>
    </row>
    <row r="507" spans="1:3" x14ac:dyDescent="0.3">
      <c r="A507" s="43">
        <v>358205080904207</v>
      </c>
      <c r="B507" s="44">
        <v>45338.499814814815</v>
      </c>
      <c r="C507" s="45" t="s">
        <v>144</v>
      </c>
    </row>
    <row r="508" spans="1:3" x14ac:dyDescent="0.3">
      <c r="A508" s="40">
        <v>358205080904231</v>
      </c>
      <c r="B508" s="41">
        <v>45338.357673611114</v>
      </c>
      <c r="C508" s="42" t="s">
        <v>144</v>
      </c>
    </row>
    <row r="509" spans="1:3" x14ac:dyDescent="0.3">
      <c r="A509" s="43">
        <v>358205080904306</v>
      </c>
      <c r="B509" s="44">
        <v>45338.499803240738</v>
      </c>
      <c r="C509" s="45" t="s">
        <v>144</v>
      </c>
    </row>
    <row r="510" spans="1:3" x14ac:dyDescent="0.3">
      <c r="A510" s="40">
        <v>358205080904371</v>
      </c>
      <c r="B510" s="41">
        <v>45338.500138888892</v>
      </c>
      <c r="C510" s="42" t="s">
        <v>144</v>
      </c>
    </row>
    <row r="511" spans="1:3" x14ac:dyDescent="0.3">
      <c r="A511" s="43">
        <v>358205080904439</v>
      </c>
      <c r="B511" s="44">
        <v>45338.500081018516</v>
      </c>
      <c r="C511" s="45" t="s">
        <v>37</v>
      </c>
    </row>
    <row r="512" spans="1:3" x14ac:dyDescent="0.3">
      <c r="A512" s="40">
        <v>358205080904488</v>
      </c>
      <c r="B512" s="41">
        <v>45337.430879629632</v>
      </c>
      <c r="C512" s="42" t="s">
        <v>144</v>
      </c>
    </row>
    <row r="513" spans="1:3" x14ac:dyDescent="0.3">
      <c r="A513" s="43">
        <v>358205080904579</v>
      </c>
      <c r="B513" s="44">
        <v>45338.500277777777</v>
      </c>
      <c r="C513" s="45" t="s">
        <v>144</v>
      </c>
    </row>
    <row r="514" spans="1:3" x14ac:dyDescent="0.3">
      <c r="A514" s="40">
        <v>358205080904611</v>
      </c>
      <c r="B514" s="41">
        <v>45338.499618055554</v>
      </c>
      <c r="C514" s="42" t="s">
        <v>37</v>
      </c>
    </row>
    <row r="515" spans="1:3" x14ac:dyDescent="0.3">
      <c r="A515" s="43">
        <v>358205080904710</v>
      </c>
      <c r="B515" s="44">
        <v>45338.499814814815</v>
      </c>
      <c r="C515" s="45" t="s">
        <v>37</v>
      </c>
    </row>
    <row r="516" spans="1:3" x14ac:dyDescent="0.3">
      <c r="A516" s="40">
        <v>358205080904850</v>
      </c>
      <c r="B516" s="41">
        <v>45337.449942129628</v>
      </c>
      <c r="C516" s="42" t="s">
        <v>37</v>
      </c>
    </row>
    <row r="517" spans="1:3" x14ac:dyDescent="0.3">
      <c r="A517" s="43">
        <v>358205080905170</v>
      </c>
      <c r="B517" s="44">
        <v>45338.4999537037</v>
      </c>
      <c r="C517" s="45" t="s">
        <v>167</v>
      </c>
    </row>
    <row r="518" spans="1:3" x14ac:dyDescent="0.3">
      <c r="A518" s="40">
        <v>358205080908653</v>
      </c>
      <c r="B518" s="41">
        <v>45338.499699074076</v>
      </c>
      <c r="C518" s="42" t="s">
        <v>144</v>
      </c>
    </row>
    <row r="519" spans="1:3" x14ac:dyDescent="0.3">
      <c r="A519" s="43">
        <v>358205080908661</v>
      </c>
      <c r="B519" s="44">
        <v>45338.499791666669</v>
      </c>
      <c r="C519" s="45" t="s">
        <v>144</v>
      </c>
    </row>
    <row r="520" spans="1:3" x14ac:dyDescent="0.3">
      <c r="A520" s="40">
        <v>358205080908729</v>
      </c>
      <c r="B520" s="41">
        <v>45338.500277777777</v>
      </c>
      <c r="C520" s="42" t="s">
        <v>144</v>
      </c>
    </row>
    <row r="521" spans="1:3" x14ac:dyDescent="0.3">
      <c r="A521" s="43">
        <v>358205080908851</v>
      </c>
      <c r="B521" s="44">
        <v>45338.499664351853</v>
      </c>
      <c r="C521" s="45" t="s">
        <v>144</v>
      </c>
    </row>
    <row r="522" spans="1:3" x14ac:dyDescent="0.3">
      <c r="A522" s="40">
        <v>358205080909347</v>
      </c>
      <c r="B522" s="41">
        <v>45338.499942129631</v>
      </c>
      <c r="C522" s="42" t="s">
        <v>76</v>
      </c>
    </row>
    <row r="523" spans="1:3" x14ac:dyDescent="0.3">
      <c r="A523" s="43">
        <v>358205080909354</v>
      </c>
      <c r="B523" s="44">
        <v>45338.499780092592</v>
      </c>
      <c r="C523" s="45" t="s">
        <v>76</v>
      </c>
    </row>
    <row r="524" spans="1:3" x14ac:dyDescent="0.3">
      <c r="A524" s="40">
        <v>358205080933404</v>
      </c>
      <c r="B524" s="41">
        <v>45338.443842592591</v>
      </c>
      <c r="C524" s="42" t="s">
        <v>174</v>
      </c>
    </row>
    <row r="525" spans="1:3" x14ac:dyDescent="0.3">
      <c r="A525" s="43">
        <v>358205080933701</v>
      </c>
      <c r="B525" s="44">
        <v>45338.499768518515</v>
      </c>
      <c r="C525" s="45" t="s">
        <v>212</v>
      </c>
    </row>
    <row r="526" spans="1:3" x14ac:dyDescent="0.3">
      <c r="A526" s="40">
        <v>358205080933768</v>
      </c>
      <c r="B526" s="41">
        <v>45338.499652777777</v>
      </c>
      <c r="C526" s="42" t="s">
        <v>212</v>
      </c>
    </row>
    <row r="527" spans="1:3" x14ac:dyDescent="0.3">
      <c r="A527" s="43">
        <v>358205080933917</v>
      </c>
      <c r="B527" s="44">
        <v>45338.500231481485</v>
      </c>
      <c r="C527" s="45" t="s">
        <v>167</v>
      </c>
    </row>
    <row r="528" spans="1:3" x14ac:dyDescent="0.3">
      <c r="A528" s="40">
        <v>358205080933933</v>
      </c>
      <c r="B528" s="41">
        <v>45338.4999537037</v>
      </c>
      <c r="C528" s="42" t="s">
        <v>167</v>
      </c>
    </row>
    <row r="529" spans="1:3" x14ac:dyDescent="0.3">
      <c r="A529" s="43">
        <v>358205082874614</v>
      </c>
      <c r="B529" s="44">
        <v>45338.499652777777</v>
      </c>
      <c r="C529" s="45" t="s">
        <v>10</v>
      </c>
    </row>
    <row r="530" spans="1:3" x14ac:dyDescent="0.3">
      <c r="A530" s="40">
        <v>358205082874663</v>
      </c>
      <c r="B530" s="41">
        <v>45338.499664351853</v>
      </c>
      <c r="C530" s="42" t="s">
        <v>174</v>
      </c>
    </row>
    <row r="531" spans="1:3" x14ac:dyDescent="0.3">
      <c r="A531" s="43">
        <v>358205082874671</v>
      </c>
      <c r="B531" s="44">
        <v>45338.499988425923</v>
      </c>
      <c r="C531" s="45" t="s">
        <v>10</v>
      </c>
    </row>
    <row r="532" spans="1:3" x14ac:dyDescent="0.3">
      <c r="A532" s="40">
        <v>358205082874747</v>
      </c>
      <c r="B532" s="41">
        <v>45338.500231481485</v>
      </c>
      <c r="C532" s="42" t="s">
        <v>174</v>
      </c>
    </row>
    <row r="533" spans="1:3" x14ac:dyDescent="0.3">
      <c r="A533" s="43">
        <v>358205082875009</v>
      </c>
      <c r="B533" s="44">
        <v>45337.550324074073</v>
      </c>
      <c r="C533" s="45" t="s">
        <v>174</v>
      </c>
    </row>
    <row r="534" spans="1:3" x14ac:dyDescent="0.3">
      <c r="A534" s="40">
        <v>358205082875025</v>
      </c>
      <c r="B534" s="41">
        <v>45338.499976851854</v>
      </c>
      <c r="C534" s="42" t="s">
        <v>174</v>
      </c>
    </row>
    <row r="535" spans="1:3" x14ac:dyDescent="0.3">
      <c r="A535" s="43">
        <v>358205083573710</v>
      </c>
      <c r="B535" s="44">
        <v>45338.405775462961</v>
      </c>
      <c r="C535" s="45" t="s">
        <v>119</v>
      </c>
    </row>
    <row r="536" spans="1:3" x14ac:dyDescent="0.3">
      <c r="A536" s="40">
        <v>358205083573959</v>
      </c>
      <c r="B536" s="41">
        <v>45337.207997685182</v>
      </c>
      <c r="C536" s="42" t="s">
        <v>162</v>
      </c>
    </row>
    <row r="537" spans="1:3" x14ac:dyDescent="0.3">
      <c r="A537" s="43">
        <v>358205083573991</v>
      </c>
      <c r="B537" s="44">
        <v>45338.500277777777</v>
      </c>
      <c r="C537" s="45" t="s">
        <v>119</v>
      </c>
    </row>
    <row r="538" spans="1:3" x14ac:dyDescent="0.3">
      <c r="A538" s="40">
        <v>358205083574031</v>
      </c>
      <c r="B538" s="41">
        <v>45338.4997337963</v>
      </c>
      <c r="C538" s="42" t="s">
        <v>174</v>
      </c>
    </row>
    <row r="539" spans="1:3" x14ac:dyDescent="0.3">
      <c r="A539" s="43">
        <v>358205083574064</v>
      </c>
      <c r="B539" s="44">
        <v>45338.499722222223</v>
      </c>
      <c r="C539" s="45" t="s">
        <v>119</v>
      </c>
    </row>
    <row r="540" spans="1:3" x14ac:dyDescent="0.3">
      <c r="A540" s="40">
        <v>358205083574098</v>
      </c>
      <c r="B540" s="41">
        <v>45338.499652777777</v>
      </c>
      <c r="C540" s="42" t="s">
        <v>119</v>
      </c>
    </row>
    <row r="541" spans="1:3" x14ac:dyDescent="0.3">
      <c r="A541" s="43">
        <v>358205083574148</v>
      </c>
      <c r="B541" s="44">
        <v>45338.499641203707</v>
      </c>
      <c r="C541" s="45" t="s">
        <v>119</v>
      </c>
    </row>
    <row r="542" spans="1:3" x14ac:dyDescent="0.3">
      <c r="A542" s="40">
        <v>358205083574163</v>
      </c>
      <c r="B542" s="41">
        <v>45338.500127314815</v>
      </c>
      <c r="C542" s="42" t="s">
        <v>111</v>
      </c>
    </row>
    <row r="543" spans="1:3" x14ac:dyDescent="0.3">
      <c r="A543" s="43">
        <v>358205083574171</v>
      </c>
      <c r="B543" s="44">
        <v>45338.500104166669</v>
      </c>
      <c r="C543" s="45" t="s">
        <v>111</v>
      </c>
    </row>
    <row r="544" spans="1:3" x14ac:dyDescent="0.3">
      <c r="A544" s="40">
        <v>358205083574197</v>
      </c>
      <c r="B544" s="41">
        <v>45338.259120370371</v>
      </c>
      <c r="C544" s="42" t="s">
        <v>162</v>
      </c>
    </row>
    <row r="545" spans="1:3" x14ac:dyDescent="0.3">
      <c r="A545" s="43">
        <v>358205083574205</v>
      </c>
      <c r="B545" s="44">
        <v>45338.406226851854</v>
      </c>
      <c r="C545" s="45" t="s">
        <v>119</v>
      </c>
    </row>
    <row r="546" spans="1:3" x14ac:dyDescent="0.3">
      <c r="A546" s="40">
        <v>358205083574213</v>
      </c>
      <c r="B546" s="41">
        <v>45337.415752314817</v>
      </c>
      <c r="C546" s="42" t="s">
        <v>119</v>
      </c>
    </row>
    <row r="547" spans="1:3" x14ac:dyDescent="0.3">
      <c r="A547" s="43">
        <v>358205083574288</v>
      </c>
      <c r="B547" s="44">
        <v>45338.4996875</v>
      </c>
      <c r="C547" s="45" t="s">
        <v>162</v>
      </c>
    </row>
    <row r="548" spans="1:3" x14ac:dyDescent="0.3">
      <c r="A548" s="40">
        <v>358205083574510</v>
      </c>
      <c r="B548" s="41">
        <v>45337.168946759259</v>
      </c>
      <c r="C548" s="42" t="s">
        <v>111</v>
      </c>
    </row>
    <row r="549" spans="1:3" x14ac:dyDescent="0.3">
      <c r="A549" s="43">
        <v>358205083574650</v>
      </c>
      <c r="B549" s="44">
        <v>45336.213125000002</v>
      </c>
      <c r="C549" s="45" t="s">
        <v>174</v>
      </c>
    </row>
    <row r="550" spans="1:3" x14ac:dyDescent="0.3">
      <c r="A550" s="40">
        <v>358205083574866</v>
      </c>
      <c r="B550" s="41">
        <v>45338.500289351854</v>
      </c>
      <c r="C550" s="42" t="s">
        <v>37</v>
      </c>
    </row>
    <row r="551" spans="1:3" x14ac:dyDescent="0.3">
      <c r="A551" s="43">
        <v>358205083574874</v>
      </c>
      <c r="B551" s="44">
        <v>45338.5000462963</v>
      </c>
      <c r="C551" s="45" t="s">
        <v>174</v>
      </c>
    </row>
    <row r="552" spans="1:3" x14ac:dyDescent="0.3">
      <c r="A552" s="40">
        <v>358205083574908</v>
      </c>
      <c r="B552" s="41">
        <v>45338.500127314815</v>
      </c>
      <c r="C552" s="42" t="s">
        <v>162</v>
      </c>
    </row>
    <row r="553" spans="1:3" x14ac:dyDescent="0.3">
      <c r="A553" s="43">
        <v>358205083574916</v>
      </c>
      <c r="B553" s="44">
        <v>45338.500023148146</v>
      </c>
      <c r="C553" s="45" t="s">
        <v>119</v>
      </c>
    </row>
    <row r="554" spans="1:3" x14ac:dyDescent="0.3">
      <c r="A554" s="40">
        <v>358205083574940</v>
      </c>
      <c r="B554" s="41">
        <v>45338.499976851854</v>
      </c>
      <c r="C554" s="42" t="s">
        <v>111</v>
      </c>
    </row>
    <row r="555" spans="1:3" x14ac:dyDescent="0.3">
      <c r="A555" s="43">
        <v>358205083575087</v>
      </c>
      <c r="B555" s="44">
        <v>45336.221134259256</v>
      </c>
      <c r="C555" s="45" t="s">
        <v>111</v>
      </c>
    </row>
    <row r="556" spans="1:3" x14ac:dyDescent="0.3">
      <c r="A556" s="40">
        <v>358205083585573</v>
      </c>
      <c r="B556" s="41">
        <v>45338.499849537038</v>
      </c>
      <c r="C556" s="42" t="s">
        <v>167</v>
      </c>
    </row>
    <row r="557" spans="1:3" x14ac:dyDescent="0.3">
      <c r="A557" s="43">
        <v>358205083585656</v>
      </c>
      <c r="B557" s="44">
        <v>45338.4997337963</v>
      </c>
      <c r="C557" s="45" t="s">
        <v>162</v>
      </c>
    </row>
    <row r="558" spans="1:3" x14ac:dyDescent="0.3">
      <c r="A558" s="40">
        <v>358205083585664</v>
      </c>
      <c r="B558" s="41">
        <v>45338.500208333331</v>
      </c>
      <c r="C558" s="42" t="s">
        <v>167</v>
      </c>
    </row>
    <row r="559" spans="1:3" x14ac:dyDescent="0.3">
      <c r="A559" s="43">
        <v>358205083585672</v>
      </c>
      <c r="B559" s="44">
        <v>45338.4999537037</v>
      </c>
      <c r="C559" s="45" t="s">
        <v>167</v>
      </c>
    </row>
    <row r="560" spans="1:3" x14ac:dyDescent="0.3">
      <c r="A560" s="40">
        <v>358205083585698</v>
      </c>
      <c r="B560" s="41">
        <v>45338.499965277777</v>
      </c>
      <c r="C560" s="42" t="s">
        <v>224</v>
      </c>
    </row>
    <row r="561" spans="1:3" x14ac:dyDescent="0.3">
      <c r="A561" s="43">
        <v>358205083585706</v>
      </c>
      <c r="B561" s="44">
        <v>45338.499756944446</v>
      </c>
      <c r="C561" s="45" t="s">
        <v>10</v>
      </c>
    </row>
    <row r="562" spans="1:3" x14ac:dyDescent="0.3">
      <c r="A562" s="40">
        <v>358205083585730</v>
      </c>
      <c r="B562" s="41">
        <v>45338.5000462963</v>
      </c>
      <c r="C562" s="42" t="s">
        <v>174</v>
      </c>
    </row>
    <row r="563" spans="1:3" x14ac:dyDescent="0.3">
      <c r="A563" s="43">
        <v>358205083585755</v>
      </c>
      <c r="B563" s="44">
        <v>45338.5003125</v>
      </c>
      <c r="C563" s="45" t="s">
        <v>162</v>
      </c>
    </row>
    <row r="564" spans="1:3" x14ac:dyDescent="0.3">
      <c r="A564" s="40">
        <v>358205083585888</v>
      </c>
      <c r="B564" s="41">
        <v>45338.500011574077</v>
      </c>
      <c r="C564" s="42" t="s">
        <v>174</v>
      </c>
    </row>
    <row r="565" spans="1:3" x14ac:dyDescent="0.3">
      <c r="A565" s="43">
        <v>358205083585904</v>
      </c>
      <c r="B565" s="44">
        <v>45337.991666666669</v>
      </c>
      <c r="C565" s="45" t="s">
        <v>10</v>
      </c>
    </row>
    <row r="566" spans="1:3" x14ac:dyDescent="0.3">
      <c r="A566" s="40">
        <v>358205083585920</v>
      </c>
      <c r="B566" s="41">
        <v>45338.499780092592</v>
      </c>
      <c r="C566" s="42" t="s">
        <v>10</v>
      </c>
    </row>
    <row r="567" spans="1:3" x14ac:dyDescent="0.3">
      <c r="A567" s="43">
        <v>358205083585961</v>
      </c>
      <c r="B567" s="44">
        <v>45338.499780092592</v>
      </c>
      <c r="C567" s="45" t="s">
        <v>10</v>
      </c>
    </row>
    <row r="568" spans="1:3" x14ac:dyDescent="0.3">
      <c r="A568" s="40">
        <v>358205083585979</v>
      </c>
      <c r="B568" s="41">
        <v>45337.369398148148</v>
      </c>
      <c r="C568" s="42" t="s">
        <v>10</v>
      </c>
    </row>
    <row r="569" spans="1:3" x14ac:dyDescent="0.3">
      <c r="A569" s="43">
        <v>358205083586068</v>
      </c>
      <c r="B569" s="44">
        <v>45338.454074074078</v>
      </c>
      <c r="C569" s="45" t="s">
        <v>10</v>
      </c>
    </row>
    <row r="570" spans="1:3" x14ac:dyDescent="0.3">
      <c r="A570" s="40">
        <v>358205083586076</v>
      </c>
      <c r="B570" s="41">
        <v>45338.499988425923</v>
      </c>
      <c r="C570" s="42" t="s">
        <v>10</v>
      </c>
    </row>
    <row r="571" spans="1:3" x14ac:dyDescent="0.3">
      <c r="A571" s="43">
        <v>358205083586084</v>
      </c>
      <c r="B571" s="44">
        <v>45338.500300925924</v>
      </c>
      <c r="C571" s="45" t="s">
        <v>10</v>
      </c>
    </row>
    <row r="572" spans="1:3" x14ac:dyDescent="0.3">
      <c r="A572" s="40">
        <v>358205083586092</v>
      </c>
      <c r="B572" s="41">
        <v>45338.499756944446</v>
      </c>
      <c r="C572" s="42" t="s">
        <v>10</v>
      </c>
    </row>
    <row r="573" spans="1:3" x14ac:dyDescent="0.3">
      <c r="A573" s="43">
        <v>358205083586142</v>
      </c>
      <c r="B573" s="44">
        <v>45338.499976851854</v>
      </c>
      <c r="C573" s="45" t="s">
        <v>10</v>
      </c>
    </row>
    <row r="574" spans="1:3" x14ac:dyDescent="0.3">
      <c r="A574" s="40">
        <v>358205083586191</v>
      </c>
      <c r="B574" s="41">
        <v>45338.499664351853</v>
      </c>
      <c r="C574" s="42" t="s">
        <v>10</v>
      </c>
    </row>
    <row r="575" spans="1:3" x14ac:dyDescent="0.3">
      <c r="A575" s="43">
        <v>358205083586225</v>
      </c>
      <c r="B575" s="44">
        <v>45338.500300925924</v>
      </c>
      <c r="C575" s="45" t="s">
        <v>10</v>
      </c>
    </row>
    <row r="576" spans="1:3" x14ac:dyDescent="0.3">
      <c r="A576" s="40">
        <v>358205083586233</v>
      </c>
      <c r="B576" s="41">
        <v>45336.643391203703</v>
      </c>
      <c r="C576" s="42" t="s">
        <v>10</v>
      </c>
    </row>
    <row r="577" spans="1:3" x14ac:dyDescent="0.3">
      <c r="A577" s="43">
        <v>358205083586282</v>
      </c>
      <c r="B577" s="44">
        <v>45338.499780092592</v>
      </c>
      <c r="C577" s="45" t="s">
        <v>111</v>
      </c>
    </row>
    <row r="578" spans="1:3" x14ac:dyDescent="0.3">
      <c r="A578" s="40">
        <v>358205083586308</v>
      </c>
      <c r="B578" s="41">
        <v>45336.659745370373</v>
      </c>
      <c r="C578" s="42" t="s">
        <v>111</v>
      </c>
    </row>
    <row r="579" spans="1:3" x14ac:dyDescent="0.3">
      <c r="A579" s="43">
        <v>358205083586365</v>
      </c>
      <c r="B579" s="44">
        <v>45338.500011574077</v>
      </c>
      <c r="C579" s="45" t="s">
        <v>111</v>
      </c>
    </row>
    <row r="580" spans="1:3" x14ac:dyDescent="0.3">
      <c r="A580" s="40">
        <v>358205083586381</v>
      </c>
      <c r="B580" s="41">
        <v>45337.577118055553</v>
      </c>
      <c r="C580" s="42" t="s">
        <v>111</v>
      </c>
    </row>
    <row r="581" spans="1:3" x14ac:dyDescent="0.3">
      <c r="A581" s="43">
        <v>358205083586407</v>
      </c>
      <c r="B581" s="44">
        <v>45338.5</v>
      </c>
      <c r="C581" s="45" t="s">
        <v>10</v>
      </c>
    </row>
    <row r="582" spans="1:3" x14ac:dyDescent="0.3">
      <c r="A582" s="40">
        <v>358205083586423</v>
      </c>
      <c r="B582" s="41">
        <v>45338.499988425923</v>
      </c>
      <c r="C582" s="42" t="s">
        <v>111</v>
      </c>
    </row>
    <row r="583" spans="1:3" x14ac:dyDescent="0.3">
      <c r="A583" s="43">
        <v>358205083586431</v>
      </c>
      <c r="B583" s="44">
        <v>45337.580335648148</v>
      </c>
      <c r="C583" s="45" t="s">
        <v>162</v>
      </c>
    </row>
    <row r="584" spans="1:3" x14ac:dyDescent="0.3">
      <c r="A584" s="40">
        <v>358205083586456</v>
      </c>
      <c r="B584" s="41">
        <v>45338.499768518515</v>
      </c>
      <c r="C584" s="42" t="s">
        <v>111</v>
      </c>
    </row>
    <row r="585" spans="1:3" x14ac:dyDescent="0.3">
      <c r="A585" s="43">
        <v>358205083586472</v>
      </c>
      <c r="B585" s="44">
        <v>45337.542013888888</v>
      </c>
      <c r="C585" s="45" t="s">
        <v>162</v>
      </c>
    </row>
    <row r="586" spans="1:3" x14ac:dyDescent="0.3">
      <c r="A586" s="40">
        <v>358205083586506</v>
      </c>
      <c r="B586" s="41">
        <v>45338.4999537037</v>
      </c>
      <c r="C586" s="42" t="s">
        <v>111</v>
      </c>
    </row>
    <row r="587" spans="1:3" x14ac:dyDescent="0.3">
      <c r="A587" s="43">
        <v>358205083586548</v>
      </c>
      <c r="B587" s="44">
        <v>45337.621967592589</v>
      </c>
      <c r="C587" s="45" t="s">
        <v>37</v>
      </c>
    </row>
    <row r="588" spans="1:3" x14ac:dyDescent="0.3">
      <c r="A588" s="40">
        <v>358205083586563</v>
      </c>
      <c r="B588" s="41">
        <v>45338.468148148146</v>
      </c>
      <c r="C588" s="42" t="s">
        <v>37</v>
      </c>
    </row>
    <row r="589" spans="1:3" x14ac:dyDescent="0.3">
      <c r="A589" s="43">
        <v>358205083586571</v>
      </c>
      <c r="B589" s="44">
        <v>45338.468113425923</v>
      </c>
      <c r="C589" s="45" t="s">
        <v>37</v>
      </c>
    </row>
    <row r="590" spans="1:3" x14ac:dyDescent="0.3">
      <c r="A590" s="40">
        <v>358205083586589</v>
      </c>
      <c r="B590" s="41">
        <v>45338.500289351854</v>
      </c>
      <c r="C590" s="42" t="s">
        <v>37</v>
      </c>
    </row>
    <row r="591" spans="1:3" x14ac:dyDescent="0.3">
      <c r="A591" s="43">
        <v>358205083586605</v>
      </c>
      <c r="B591" s="44">
        <v>45338.499872685185</v>
      </c>
      <c r="C591" s="45" t="s">
        <v>162</v>
      </c>
    </row>
    <row r="592" spans="1:3" x14ac:dyDescent="0.3">
      <c r="A592" s="40">
        <v>358205083586613</v>
      </c>
      <c r="B592" s="41">
        <v>45338.5002662037</v>
      </c>
      <c r="C592" s="42" t="s">
        <v>174</v>
      </c>
    </row>
    <row r="593" spans="1:3" x14ac:dyDescent="0.3">
      <c r="A593" s="43">
        <v>358205083586621</v>
      </c>
      <c r="B593" s="44">
        <v>45336.262060185189</v>
      </c>
      <c r="C593" s="45" t="s">
        <v>162</v>
      </c>
    </row>
    <row r="594" spans="1:3" x14ac:dyDescent="0.3">
      <c r="A594" s="40">
        <v>358205083586639</v>
      </c>
      <c r="B594" s="41">
        <v>45338.500115740739</v>
      </c>
      <c r="C594" s="42" t="s">
        <v>174</v>
      </c>
    </row>
    <row r="595" spans="1:3" x14ac:dyDescent="0.3">
      <c r="A595" s="43">
        <v>358205083586670</v>
      </c>
      <c r="B595" s="44">
        <v>45338.500104166669</v>
      </c>
      <c r="C595" s="45" t="s">
        <v>174</v>
      </c>
    </row>
    <row r="596" spans="1:3" x14ac:dyDescent="0.3">
      <c r="A596" s="40">
        <v>358205083586704</v>
      </c>
      <c r="B596" s="41">
        <v>45336.523425925923</v>
      </c>
      <c r="C596" s="42" t="s">
        <v>174</v>
      </c>
    </row>
    <row r="597" spans="1:3" x14ac:dyDescent="0.3">
      <c r="A597" s="43">
        <v>358205083586803</v>
      </c>
      <c r="B597" s="44">
        <v>45338.499976851854</v>
      </c>
      <c r="C597" s="45" t="s">
        <v>37</v>
      </c>
    </row>
    <row r="598" spans="1:3" x14ac:dyDescent="0.3">
      <c r="A598" s="40">
        <v>358205083586811</v>
      </c>
      <c r="B598" s="41">
        <v>45336.403958333336</v>
      </c>
      <c r="C598" s="42" t="s">
        <v>37</v>
      </c>
    </row>
    <row r="599" spans="1:3" x14ac:dyDescent="0.3">
      <c r="A599" s="43">
        <v>358205083586852</v>
      </c>
      <c r="B599" s="44">
        <v>45338.367268518516</v>
      </c>
      <c r="C599" s="45" t="s">
        <v>37</v>
      </c>
    </row>
    <row r="600" spans="1:3" x14ac:dyDescent="0.3">
      <c r="A600" s="40">
        <v>358205083586977</v>
      </c>
      <c r="B600" s="41">
        <v>45337.545624999999</v>
      </c>
      <c r="C600" s="42" t="s">
        <v>111</v>
      </c>
    </row>
    <row r="601" spans="1:3" x14ac:dyDescent="0.3">
      <c r="A601" s="43">
        <v>358205083587058</v>
      </c>
      <c r="B601" s="44">
        <v>45338.499907407408</v>
      </c>
      <c r="C601" s="45" t="s">
        <v>111</v>
      </c>
    </row>
    <row r="602" spans="1:3" x14ac:dyDescent="0.3">
      <c r="A602" s="40">
        <v>358205083587074</v>
      </c>
      <c r="B602" s="41">
        <v>45338.499965277777</v>
      </c>
      <c r="C602" s="42" t="s">
        <v>144</v>
      </c>
    </row>
    <row r="603" spans="1:3" x14ac:dyDescent="0.3">
      <c r="A603" s="43">
        <v>358205083587132</v>
      </c>
      <c r="B603" s="44">
        <v>45338.499641203707</v>
      </c>
      <c r="C603" s="45" t="s">
        <v>225</v>
      </c>
    </row>
    <row r="604" spans="1:3" x14ac:dyDescent="0.3">
      <c r="A604" s="40">
        <v>358205083587140</v>
      </c>
      <c r="B604" s="41">
        <v>45338.5002662037</v>
      </c>
      <c r="C604" s="42" t="s">
        <v>10</v>
      </c>
    </row>
    <row r="605" spans="1:3" x14ac:dyDescent="0.3">
      <c r="A605" s="43">
        <v>358205083587231</v>
      </c>
      <c r="B605" s="44">
        <v>45337.277337962965</v>
      </c>
      <c r="C605" s="45" t="s">
        <v>144</v>
      </c>
    </row>
    <row r="606" spans="1:3" x14ac:dyDescent="0.3">
      <c r="A606" s="40">
        <v>358205083587603</v>
      </c>
      <c r="B606" s="41">
        <v>45338.499930555554</v>
      </c>
      <c r="C606" s="42" t="s">
        <v>174</v>
      </c>
    </row>
    <row r="607" spans="1:3" x14ac:dyDescent="0.3">
      <c r="A607" s="43">
        <v>358205083587637</v>
      </c>
      <c r="B607" s="44">
        <v>45336.263113425928</v>
      </c>
      <c r="C607" s="45" t="s">
        <v>111</v>
      </c>
    </row>
    <row r="608" spans="1:3" x14ac:dyDescent="0.3">
      <c r="A608" s="40">
        <v>358205083587769</v>
      </c>
      <c r="B608" s="41">
        <v>45338.500162037039</v>
      </c>
      <c r="C608" s="42" t="s">
        <v>111</v>
      </c>
    </row>
    <row r="609" spans="1:3" x14ac:dyDescent="0.3">
      <c r="A609" s="43">
        <v>358205083587793</v>
      </c>
      <c r="B609" s="44">
        <v>45336.583009259259</v>
      </c>
      <c r="C609" s="45" t="s">
        <v>111</v>
      </c>
    </row>
    <row r="610" spans="1:3" x14ac:dyDescent="0.3">
      <c r="A610" s="40">
        <v>358205083587819</v>
      </c>
      <c r="B610" s="41">
        <v>45338.499884259261</v>
      </c>
      <c r="C610" s="42" t="s">
        <v>111</v>
      </c>
    </row>
    <row r="611" spans="1:3" x14ac:dyDescent="0.3">
      <c r="A611" s="43">
        <v>358205083587827</v>
      </c>
      <c r="B611" s="44">
        <v>45337.533958333333</v>
      </c>
      <c r="C611" s="45" t="s">
        <v>111</v>
      </c>
    </row>
    <row r="612" spans="1:3" x14ac:dyDescent="0.3">
      <c r="A612" s="40">
        <v>358205083587835</v>
      </c>
      <c r="B612" s="41">
        <v>45336.565057870372</v>
      </c>
      <c r="C612" s="42" t="s">
        <v>76</v>
      </c>
    </row>
    <row r="613" spans="1:3" x14ac:dyDescent="0.3">
      <c r="A613" s="43">
        <v>358205083587900</v>
      </c>
      <c r="B613" s="44">
        <v>45338.500162037039</v>
      </c>
      <c r="C613" s="45" t="s">
        <v>111</v>
      </c>
    </row>
    <row r="614" spans="1:3" x14ac:dyDescent="0.3">
      <c r="A614" s="40">
        <v>358205083587942</v>
      </c>
      <c r="B614" s="41">
        <v>45337.558599537035</v>
      </c>
      <c r="C614" s="42" t="s">
        <v>76</v>
      </c>
    </row>
    <row r="615" spans="1:3" x14ac:dyDescent="0.3">
      <c r="A615" s="43">
        <v>358205083587983</v>
      </c>
      <c r="B615" s="44">
        <v>45338.318113425928</v>
      </c>
      <c r="C615" s="45" t="s">
        <v>76</v>
      </c>
    </row>
    <row r="616" spans="1:3" x14ac:dyDescent="0.3">
      <c r="A616" s="40">
        <v>358205083588007</v>
      </c>
      <c r="B616" s="41">
        <v>45337.576168981483</v>
      </c>
      <c r="C616" s="42" t="s">
        <v>111</v>
      </c>
    </row>
    <row r="617" spans="1:3" x14ac:dyDescent="0.3">
      <c r="A617" s="43">
        <v>358205083588015</v>
      </c>
      <c r="B617" s="44">
        <v>45336.437511574077</v>
      </c>
      <c r="C617" s="45" t="s">
        <v>76</v>
      </c>
    </row>
    <row r="618" spans="1:3" x14ac:dyDescent="0.3">
      <c r="A618" s="40">
        <v>358205083588023</v>
      </c>
      <c r="B618" s="41">
        <v>45337.415034722224</v>
      </c>
      <c r="C618" s="42" t="s">
        <v>76</v>
      </c>
    </row>
    <row r="619" spans="1:3" x14ac:dyDescent="0.3">
      <c r="A619" s="43">
        <v>358205083588031</v>
      </c>
      <c r="B619" s="44">
        <v>45338.319409722222</v>
      </c>
      <c r="C619" s="45" t="s">
        <v>76</v>
      </c>
    </row>
    <row r="620" spans="1:3" x14ac:dyDescent="0.3">
      <c r="A620" s="40">
        <v>358205083588106</v>
      </c>
      <c r="B620" s="41">
        <v>45338.4999537037</v>
      </c>
      <c r="C620" s="42" t="s">
        <v>111</v>
      </c>
    </row>
    <row r="621" spans="1:3" x14ac:dyDescent="0.3">
      <c r="A621" s="43">
        <v>358205083588122</v>
      </c>
      <c r="B621" s="44">
        <v>45338.499814814815</v>
      </c>
      <c r="C621" s="45" t="s">
        <v>111</v>
      </c>
    </row>
    <row r="622" spans="1:3" x14ac:dyDescent="0.3">
      <c r="A622" s="40">
        <v>358205083588239</v>
      </c>
      <c r="B622" s="41">
        <v>45338.499861111108</v>
      </c>
      <c r="C622" s="42" t="s">
        <v>37</v>
      </c>
    </row>
    <row r="623" spans="1:3" x14ac:dyDescent="0.3">
      <c r="A623" s="43">
        <v>358205083588254</v>
      </c>
      <c r="B623" s="44">
        <v>45338.500057870369</v>
      </c>
      <c r="C623" s="45" t="s">
        <v>37</v>
      </c>
    </row>
    <row r="624" spans="1:3" x14ac:dyDescent="0.3">
      <c r="A624" s="40">
        <v>358205083588395</v>
      </c>
      <c r="B624" s="41">
        <v>45338.499699074076</v>
      </c>
      <c r="C624" s="42" t="s">
        <v>37</v>
      </c>
    </row>
    <row r="625" spans="1:3" x14ac:dyDescent="0.3">
      <c r="A625" s="43">
        <v>358205083588494</v>
      </c>
      <c r="B625" s="44">
        <v>45338.500185185185</v>
      </c>
      <c r="C625" s="45" t="s">
        <v>119</v>
      </c>
    </row>
    <row r="626" spans="1:3" x14ac:dyDescent="0.3">
      <c r="A626" s="40">
        <v>358205083588601</v>
      </c>
      <c r="B626" s="41">
        <v>45336.15457175926</v>
      </c>
      <c r="C626" s="42" t="s">
        <v>119</v>
      </c>
    </row>
    <row r="627" spans="1:3" x14ac:dyDescent="0.3">
      <c r="A627" s="43">
        <v>358205083588627</v>
      </c>
      <c r="B627" s="44">
        <v>45338.499918981484</v>
      </c>
      <c r="C627" s="45" t="s">
        <v>119</v>
      </c>
    </row>
    <row r="628" spans="1:3" x14ac:dyDescent="0.3">
      <c r="A628" s="40">
        <v>358205083588676</v>
      </c>
      <c r="B628" s="41">
        <v>45338.499895833331</v>
      </c>
      <c r="C628" s="42" t="s">
        <v>37</v>
      </c>
    </row>
    <row r="629" spans="1:3" x14ac:dyDescent="0.3">
      <c r="A629" s="43">
        <v>358205083588684</v>
      </c>
      <c r="B629" s="44">
        <v>45338.500150462962</v>
      </c>
      <c r="C629" s="45" t="s">
        <v>10</v>
      </c>
    </row>
    <row r="630" spans="1:3" x14ac:dyDescent="0.3">
      <c r="A630" s="40">
        <v>358205083588700</v>
      </c>
      <c r="B630" s="41">
        <v>45338.500150462962</v>
      </c>
      <c r="C630" s="42" t="s">
        <v>119</v>
      </c>
    </row>
    <row r="631" spans="1:3" x14ac:dyDescent="0.3">
      <c r="A631" s="43">
        <v>358205083588718</v>
      </c>
      <c r="B631" s="44">
        <v>45338.499722222223</v>
      </c>
      <c r="C631" s="45" t="s">
        <v>37</v>
      </c>
    </row>
    <row r="632" spans="1:3" x14ac:dyDescent="0.3">
      <c r="A632" s="40">
        <v>358205083588809</v>
      </c>
      <c r="B632" s="41">
        <v>45338.500277777777</v>
      </c>
      <c r="C632" s="42" t="s">
        <v>10</v>
      </c>
    </row>
    <row r="633" spans="1:3" x14ac:dyDescent="0.3">
      <c r="A633" s="43">
        <v>358205083588817</v>
      </c>
      <c r="B633" s="44">
        <v>45338.499872685185</v>
      </c>
      <c r="C633" s="45" t="s">
        <v>111</v>
      </c>
    </row>
    <row r="634" spans="1:3" x14ac:dyDescent="0.3">
      <c r="A634" s="40">
        <v>358205083588825</v>
      </c>
      <c r="B634" s="41">
        <v>45336.569664351853</v>
      </c>
      <c r="C634" s="42" t="s">
        <v>76</v>
      </c>
    </row>
    <row r="635" spans="1:3" x14ac:dyDescent="0.3">
      <c r="A635" s="43">
        <v>358205083588833</v>
      </c>
      <c r="B635" s="44">
        <v>45336.52071759259</v>
      </c>
      <c r="C635" s="45" t="s">
        <v>119</v>
      </c>
    </row>
    <row r="636" spans="1:3" x14ac:dyDescent="0.3">
      <c r="A636" s="40">
        <v>358205083588858</v>
      </c>
      <c r="B636" s="41">
        <v>45338.499652777777</v>
      </c>
      <c r="C636" s="42" t="s">
        <v>119</v>
      </c>
    </row>
    <row r="637" spans="1:3" x14ac:dyDescent="0.3">
      <c r="A637" s="43">
        <v>358205083588866</v>
      </c>
      <c r="B637" s="44">
        <v>45338.4997337963</v>
      </c>
      <c r="C637" s="45" t="s">
        <v>111</v>
      </c>
    </row>
    <row r="638" spans="1:3" x14ac:dyDescent="0.3">
      <c r="A638" s="40">
        <v>358205083588890</v>
      </c>
      <c r="B638" s="41">
        <v>45338.499826388892</v>
      </c>
      <c r="C638" s="42" t="s">
        <v>119</v>
      </c>
    </row>
    <row r="639" spans="1:3" x14ac:dyDescent="0.3">
      <c r="A639" s="43">
        <v>358205083588908</v>
      </c>
      <c r="B639" s="44">
        <v>45338.387812499997</v>
      </c>
      <c r="C639" s="45" t="s">
        <v>119</v>
      </c>
    </row>
    <row r="640" spans="1:3" x14ac:dyDescent="0.3">
      <c r="A640" s="40">
        <v>358205083588916</v>
      </c>
      <c r="B640" s="41">
        <v>45338.500034722223</v>
      </c>
      <c r="C640" s="42" t="s">
        <v>111</v>
      </c>
    </row>
    <row r="641" spans="1:3" x14ac:dyDescent="0.3">
      <c r="A641" s="43">
        <v>358205083588965</v>
      </c>
      <c r="B641" s="44">
        <v>45338.5002662037</v>
      </c>
      <c r="C641" s="45" t="s">
        <v>119</v>
      </c>
    </row>
    <row r="642" spans="1:3" x14ac:dyDescent="0.3">
      <c r="A642" s="40">
        <v>358205083589047</v>
      </c>
      <c r="B642" s="41">
        <v>45338.499942129631</v>
      </c>
      <c r="C642" s="42" t="s">
        <v>37</v>
      </c>
    </row>
    <row r="643" spans="1:3" x14ac:dyDescent="0.3">
      <c r="A643" s="43">
        <v>358205083589070</v>
      </c>
      <c r="B643" s="44">
        <v>45337.437407407408</v>
      </c>
      <c r="C643" s="45" t="s">
        <v>162</v>
      </c>
    </row>
    <row r="644" spans="1:3" x14ac:dyDescent="0.3">
      <c r="A644" s="40">
        <v>358205083589112</v>
      </c>
      <c r="B644" s="41">
        <v>45338.4996875</v>
      </c>
      <c r="C644" s="42" t="s">
        <v>37</v>
      </c>
    </row>
    <row r="645" spans="1:3" x14ac:dyDescent="0.3">
      <c r="A645" s="43">
        <v>358205083589153</v>
      </c>
      <c r="B645" s="44">
        <v>45338.243796296294</v>
      </c>
      <c r="C645" s="45" t="s">
        <v>162</v>
      </c>
    </row>
    <row r="646" spans="1:3" x14ac:dyDescent="0.3">
      <c r="A646" s="40">
        <v>358205084158396</v>
      </c>
      <c r="B646" s="41">
        <v>45338.499826388892</v>
      </c>
      <c r="C646" s="42" t="s">
        <v>111</v>
      </c>
    </row>
    <row r="647" spans="1:3" x14ac:dyDescent="0.3">
      <c r="A647" s="43">
        <v>358205084158586</v>
      </c>
      <c r="B647" s="44">
        <v>45338.490486111114</v>
      </c>
      <c r="C647" s="45" t="s">
        <v>111</v>
      </c>
    </row>
    <row r="648" spans="1:3" x14ac:dyDescent="0.3">
      <c r="A648" s="40">
        <v>358205084158594</v>
      </c>
      <c r="B648" s="41">
        <v>45338.499756944446</v>
      </c>
      <c r="C648" s="42" t="s">
        <v>111</v>
      </c>
    </row>
    <row r="649" spans="1:3" x14ac:dyDescent="0.3">
      <c r="A649" s="43">
        <v>358205084158701</v>
      </c>
      <c r="B649" s="44">
        <v>45336.263009259259</v>
      </c>
      <c r="C649" s="45" t="s">
        <v>111</v>
      </c>
    </row>
    <row r="650" spans="1:3" x14ac:dyDescent="0.3">
      <c r="A650" s="40">
        <v>358205084158800</v>
      </c>
      <c r="B650" s="41">
        <v>45338.500034722223</v>
      </c>
      <c r="C650" s="42" t="s">
        <v>111</v>
      </c>
    </row>
    <row r="651" spans="1:3" x14ac:dyDescent="0.3">
      <c r="A651" s="43">
        <v>358205084158834</v>
      </c>
      <c r="B651" s="44">
        <v>45336.212465277778</v>
      </c>
      <c r="C651" s="45" t="s">
        <v>111</v>
      </c>
    </row>
    <row r="652" spans="1:3" x14ac:dyDescent="0.3">
      <c r="A652" s="40">
        <v>358205084159840</v>
      </c>
      <c r="B652" s="41">
        <v>45336.185960648145</v>
      </c>
      <c r="C652" s="42" t="s">
        <v>111</v>
      </c>
    </row>
    <row r="653" spans="1:3" x14ac:dyDescent="0.3">
      <c r="A653" s="43">
        <v>358205084160004</v>
      </c>
      <c r="B653" s="44">
        <v>45338.499699074076</v>
      </c>
      <c r="C653" s="45" t="s">
        <v>111</v>
      </c>
    </row>
    <row r="654" spans="1:3" x14ac:dyDescent="0.3">
      <c r="A654" s="40">
        <v>358205084160053</v>
      </c>
      <c r="B654" s="41">
        <v>45338.5002662037</v>
      </c>
      <c r="C654" s="42" t="s">
        <v>111</v>
      </c>
    </row>
    <row r="655" spans="1:3" x14ac:dyDescent="0.3">
      <c r="A655" s="43">
        <v>358205084160129</v>
      </c>
      <c r="B655" s="44">
        <v>45338.499837962961</v>
      </c>
      <c r="C655" s="45" t="s">
        <v>111</v>
      </c>
    </row>
    <row r="656" spans="1:3" x14ac:dyDescent="0.3">
      <c r="A656" s="40">
        <v>358205084170789</v>
      </c>
      <c r="B656" s="41">
        <v>45336.385868055557</v>
      </c>
      <c r="C656" s="42" t="s">
        <v>111</v>
      </c>
    </row>
    <row r="657" spans="1:3" x14ac:dyDescent="0.3">
      <c r="A657" s="43">
        <v>358205084171191</v>
      </c>
      <c r="B657" s="44">
        <v>45338.499814814815</v>
      </c>
      <c r="C657" s="45" t="s">
        <v>111</v>
      </c>
    </row>
    <row r="658" spans="1:3" x14ac:dyDescent="0.3">
      <c r="A658" s="40">
        <v>358205084520868</v>
      </c>
      <c r="B658" s="41">
        <v>45337.583668981482</v>
      </c>
      <c r="C658" s="42" t="s">
        <v>167</v>
      </c>
    </row>
    <row r="659" spans="1:3" x14ac:dyDescent="0.3">
      <c r="A659" s="43">
        <v>358205084522047</v>
      </c>
      <c r="B659" s="44">
        <v>45335.765717592592</v>
      </c>
      <c r="C659" s="45" t="s">
        <v>167</v>
      </c>
    </row>
    <row r="660" spans="1:3" x14ac:dyDescent="0.3">
      <c r="A660" s="40">
        <v>358205084522088</v>
      </c>
      <c r="B660" s="41">
        <v>45338.499965277777</v>
      </c>
      <c r="C660" s="42" t="s">
        <v>167</v>
      </c>
    </row>
    <row r="661" spans="1:3" x14ac:dyDescent="0.3">
      <c r="A661" s="43">
        <v>358205084538530</v>
      </c>
      <c r="B661" s="44">
        <v>45338.499618055554</v>
      </c>
      <c r="C661" s="45" t="s">
        <v>10</v>
      </c>
    </row>
    <row r="662" spans="1:3" x14ac:dyDescent="0.3">
      <c r="A662" s="40">
        <v>358205084539884</v>
      </c>
      <c r="B662" s="41">
        <v>45338.499722222223</v>
      </c>
      <c r="C662" s="42" t="s">
        <v>10</v>
      </c>
    </row>
    <row r="663" spans="1:3" x14ac:dyDescent="0.3">
      <c r="A663" s="43">
        <v>358205086905414</v>
      </c>
      <c r="B663" s="44">
        <v>45337.743900462963</v>
      </c>
      <c r="C663" s="45" t="s">
        <v>10</v>
      </c>
    </row>
    <row r="664" spans="1:3" x14ac:dyDescent="0.3">
      <c r="A664" s="40">
        <v>358205086908616</v>
      </c>
      <c r="B664" s="41">
        <v>45338.387129629627</v>
      </c>
      <c r="C664" s="42" t="s">
        <v>10</v>
      </c>
    </row>
    <row r="665" spans="1:3" x14ac:dyDescent="0.3">
      <c r="A665" s="43">
        <v>358205086908772</v>
      </c>
      <c r="B665" s="44">
        <v>45338.499768518515</v>
      </c>
      <c r="C665" s="45" t="s">
        <v>10</v>
      </c>
    </row>
    <row r="666" spans="1:3" x14ac:dyDescent="0.3">
      <c r="A666" s="40">
        <v>358205086908913</v>
      </c>
      <c r="B666" s="41">
        <v>45338.401666666665</v>
      </c>
      <c r="C666" s="42" t="s">
        <v>10</v>
      </c>
    </row>
    <row r="667" spans="1:3" x14ac:dyDescent="0.3">
      <c r="A667" s="43">
        <v>358205086909119</v>
      </c>
      <c r="B667" s="44">
        <v>45336.55976851852</v>
      </c>
      <c r="C667" s="45" t="s">
        <v>10</v>
      </c>
    </row>
    <row r="668" spans="1:3" x14ac:dyDescent="0.3">
      <c r="A668" s="40">
        <v>358205086909614</v>
      </c>
      <c r="B668" s="41">
        <v>45338.500231481485</v>
      </c>
      <c r="C668" s="42" t="s">
        <v>10</v>
      </c>
    </row>
    <row r="669" spans="1:3" x14ac:dyDescent="0.3">
      <c r="A669" s="43">
        <v>358205086910570</v>
      </c>
      <c r="B669" s="44">
        <v>45338.499699074076</v>
      </c>
      <c r="C669" s="45" t="s">
        <v>10</v>
      </c>
    </row>
    <row r="670" spans="1:3" x14ac:dyDescent="0.3">
      <c r="A670" s="40">
        <v>358205086910679</v>
      </c>
      <c r="B670" s="41">
        <v>45338.500289351854</v>
      </c>
      <c r="C670" s="42" t="s">
        <v>10</v>
      </c>
    </row>
    <row r="671" spans="1:3" x14ac:dyDescent="0.3">
      <c r="A671" s="43">
        <v>358205086910802</v>
      </c>
      <c r="B671" s="44">
        <v>45338.500219907408</v>
      </c>
      <c r="C671" s="45" t="s">
        <v>10</v>
      </c>
    </row>
    <row r="672" spans="1:3" x14ac:dyDescent="0.3">
      <c r="A672" s="40">
        <v>358205086911180</v>
      </c>
      <c r="B672" s="41">
        <v>45336.378078703703</v>
      </c>
      <c r="C672" s="42" t="s">
        <v>10</v>
      </c>
    </row>
    <row r="673" spans="1:3" x14ac:dyDescent="0.3">
      <c r="A673" s="43">
        <v>358205086911560</v>
      </c>
      <c r="B673" s="44">
        <v>45337.432280092595</v>
      </c>
      <c r="C673" s="45" t="s">
        <v>10</v>
      </c>
    </row>
    <row r="674" spans="1:3" x14ac:dyDescent="0.3">
      <c r="A674" s="40">
        <v>358205086911677</v>
      </c>
      <c r="B674" s="41">
        <v>45338.500300925924</v>
      </c>
      <c r="C674" s="42" t="s">
        <v>10</v>
      </c>
    </row>
    <row r="675" spans="1:3" x14ac:dyDescent="0.3">
      <c r="A675" s="43">
        <v>358205086911859</v>
      </c>
      <c r="B675" s="44">
        <v>45338.190636574072</v>
      </c>
      <c r="C675" s="45" t="s">
        <v>10</v>
      </c>
    </row>
    <row r="676" spans="1:3" x14ac:dyDescent="0.3">
      <c r="A676" s="40">
        <v>358205086912659</v>
      </c>
      <c r="B676" s="41">
        <v>45337.77957175926</v>
      </c>
      <c r="C676" s="42" t="s">
        <v>10</v>
      </c>
    </row>
    <row r="677" spans="1:3" x14ac:dyDescent="0.3">
      <c r="A677" s="43">
        <v>358205086912873</v>
      </c>
      <c r="B677" s="44">
        <v>45338.161527777775</v>
      </c>
      <c r="C677" s="45" t="s">
        <v>10</v>
      </c>
    </row>
    <row r="678" spans="1:3" x14ac:dyDescent="0.3">
      <c r="A678" s="40">
        <v>358205086913673</v>
      </c>
      <c r="B678" s="41">
        <v>45338.392523148148</v>
      </c>
      <c r="C678" s="42" t="s">
        <v>10</v>
      </c>
    </row>
    <row r="679" spans="1:3" x14ac:dyDescent="0.3">
      <c r="A679" s="43">
        <v>358205086913871</v>
      </c>
      <c r="B679" s="44">
        <v>45338.342650462961</v>
      </c>
      <c r="C679" s="45" t="s">
        <v>10</v>
      </c>
    </row>
    <row r="680" spans="1:3" x14ac:dyDescent="0.3">
      <c r="A680" s="40">
        <v>358205086913921</v>
      </c>
      <c r="B680" s="41">
        <v>45338.500115740739</v>
      </c>
      <c r="C680" s="42" t="s">
        <v>10</v>
      </c>
    </row>
    <row r="681" spans="1:3" x14ac:dyDescent="0.3">
      <c r="A681" s="43">
        <v>358205086914283</v>
      </c>
      <c r="B681" s="44">
        <v>45338.374791666669</v>
      </c>
      <c r="C681" s="45" t="s">
        <v>10</v>
      </c>
    </row>
    <row r="682" spans="1:3" x14ac:dyDescent="0.3">
      <c r="A682" s="40">
        <v>358205089657988</v>
      </c>
      <c r="B682" s="41">
        <v>45338.499664351853</v>
      </c>
      <c r="C682" s="42" t="s">
        <v>76</v>
      </c>
    </row>
    <row r="683" spans="1:3" x14ac:dyDescent="0.3">
      <c r="A683" s="43">
        <v>355523115554885</v>
      </c>
      <c r="B683" s="44">
        <v>45338.5002662037</v>
      </c>
      <c r="C683" s="45" t="s">
        <v>111</v>
      </c>
    </row>
    <row r="684" spans="1:3" x14ac:dyDescent="0.3">
      <c r="A684" s="40">
        <v>358205080864179</v>
      </c>
      <c r="B684" s="41">
        <v>45336.217060185183</v>
      </c>
      <c r="C684" s="42" t="s">
        <v>174</v>
      </c>
    </row>
    <row r="685" spans="1:3" x14ac:dyDescent="0.3">
      <c r="A685" s="43">
        <v>358205080897864</v>
      </c>
      <c r="B685" s="44">
        <v>45338.500138888892</v>
      </c>
      <c r="C685" s="45" t="s">
        <v>174</v>
      </c>
    </row>
    <row r="686" spans="1:3" x14ac:dyDescent="0.3">
      <c r="A686" s="40">
        <v>358205080900155</v>
      </c>
      <c r="B686" s="41">
        <v>45338.499641203707</v>
      </c>
      <c r="C686" s="42" t="s">
        <v>76</v>
      </c>
    </row>
    <row r="687" spans="1:3" x14ac:dyDescent="0.3">
      <c r="A687" s="43">
        <v>358205080902110</v>
      </c>
      <c r="B687" s="44">
        <v>45337.2890162037</v>
      </c>
      <c r="C687" s="45" t="s">
        <v>76</v>
      </c>
    </row>
    <row r="688" spans="1:3" x14ac:dyDescent="0.3">
      <c r="A688" s="40">
        <v>358205080903019</v>
      </c>
      <c r="B688" s="41">
        <v>45338.499814814815</v>
      </c>
      <c r="C688" s="42" t="s">
        <v>174</v>
      </c>
    </row>
    <row r="689" spans="1:3" x14ac:dyDescent="0.3">
      <c r="A689" s="43">
        <v>358205080903043</v>
      </c>
      <c r="B689" s="44">
        <v>45338.445937500001</v>
      </c>
      <c r="C689" s="45" t="s">
        <v>174</v>
      </c>
    </row>
    <row r="690" spans="1:3" x14ac:dyDescent="0.3">
      <c r="A690" s="40">
        <v>358205083587991</v>
      </c>
      <c r="B690" s="41">
        <v>45337.420752314814</v>
      </c>
      <c r="C690" s="42" t="s">
        <v>76</v>
      </c>
    </row>
    <row r="691" spans="1:3" x14ac:dyDescent="0.3">
      <c r="A691" s="43">
        <v>358205080899779</v>
      </c>
      <c r="B691" s="44">
        <v>45337.407523148147</v>
      </c>
      <c r="C691" s="45" t="s">
        <v>76</v>
      </c>
    </row>
  </sheetData>
  <autoFilter ref="A1:C691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90"/>
  <sheetViews>
    <sheetView topLeftCell="A745" workbookViewId="0">
      <selection activeCell="C769" sqref="C769"/>
    </sheetView>
  </sheetViews>
  <sheetFormatPr defaultColWidth="9.109375" defaultRowHeight="14.4" x14ac:dyDescent="0.3"/>
  <cols>
    <col min="1" max="1" width="23.5546875" style="46" customWidth="1"/>
    <col min="2" max="2" width="28.6640625" style="47" customWidth="1"/>
    <col min="3" max="3" width="20.44140625" style="46" customWidth="1"/>
    <col min="4" max="4" width="34.5546875" style="46" customWidth="1"/>
    <col min="5" max="16384" width="9.109375" style="46"/>
  </cols>
  <sheetData>
    <row r="1" spans="1:4" x14ac:dyDescent="0.3">
      <c r="A1" s="46" t="s">
        <v>4</v>
      </c>
      <c r="B1" s="47" t="s">
        <v>221</v>
      </c>
      <c r="C1" s="46" t="s">
        <v>1</v>
      </c>
      <c r="D1" s="46" t="s">
        <v>226</v>
      </c>
    </row>
    <row r="2" spans="1:4" x14ac:dyDescent="0.3">
      <c r="A2" s="48">
        <v>358205084170847</v>
      </c>
      <c r="B2" s="49">
        <v>45335.332048611112</v>
      </c>
      <c r="C2" s="46" t="s">
        <v>178</v>
      </c>
      <c r="D2" s="46" t="e">
        <f>INDEX('План ОПЭ'!$D$2:$D$195,MATCH(_1[[#This Row],[IMEI]],'План ОПЭ'!$F$2:$F$195,0),1)</f>
        <v>#N/A</v>
      </c>
    </row>
    <row r="3" spans="1:4" x14ac:dyDescent="0.3">
      <c r="A3" s="48">
        <v>358205083587272</v>
      </c>
      <c r="B3" s="49">
        <v>45336.211909722224</v>
      </c>
      <c r="C3" s="46" t="s">
        <v>111</v>
      </c>
      <c r="D3" s="46" t="e">
        <f>#NAME?</f>
        <v>#NAME?</v>
      </c>
    </row>
    <row r="4" spans="1:4" x14ac:dyDescent="0.3">
      <c r="A4" s="48">
        <v>358205083588205</v>
      </c>
      <c r="B4" s="49">
        <v>45336.224675925929</v>
      </c>
      <c r="C4" s="46" t="s">
        <v>119</v>
      </c>
      <c r="D4" s="46" t="e">
        <f>#NAME?</f>
        <v>#NAME?</v>
      </c>
    </row>
    <row r="5" spans="1:4" x14ac:dyDescent="0.3">
      <c r="A5" s="48">
        <v>358205084520801</v>
      </c>
      <c r="B5" s="49">
        <v>45335.43209490741</v>
      </c>
      <c r="C5" s="46" t="s">
        <v>167</v>
      </c>
      <c r="D5" s="46" t="e">
        <f>#NAME?</f>
        <v>#NAME?</v>
      </c>
    </row>
    <row r="6" spans="1:4" x14ac:dyDescent="0.3">
      <c r="A6" s="48">
        <v>358205084539561</v>
      </c>
      <c r="B6" s="49">
        <v>45338.495104166665</v>
      </c>
      <c r="C6" s="46" t="s">
        <v>10</v>
      </c>
      <c r="D6" s="46" t="e">
        <f>#NAME?</f>
        <v>#NAME?</v>
      </c>
    </row>
    <row r="7" spans="1:4" x14ac:dyDescent="0.3">
      <c r="A7" s="48">
        <v>358205086912733</v>
      </c>
      <c r="B7" s="49">
        <v>45335.714259259257</v>
      </c>
      <c r="C7" s="46" t="s">
        <v>10</v>
      </c>
      <c r="D7" s="46" t="e">
        <f>#NAME?</f>
        <v>#NAME?</v>
      </c>
    </row>
    <row r="8" spans="1:4" x14ac:dyDescent="0.3">
      <c r="A8" s="48">
        <v>358205080899183</v>
      </c>
      <c r="B8" s="49">
        <v>45335.359918981485</v>
      </c>
      <c r="C8" s="46" t="s">
        <v>76</v>
      </c>
      <c r="D8" s="46" t="e">
        <f>#NAME?</f>
        <v>#NAME?</v>
      </c>
    </row>
    <row r="9" spans="1:4" x14ac:dyDescent="0.3">
      <c r="A9" s="48">
        <v>358205080900163</v>
      </c>
      <c r="B9" s="49">
        <v>45337.40865740741</v>
      </c>
      <c r="C9" s="46" t="s">
        <v>76</v>
      </c>
      <c r="D9" s="46" t="e">
        <f>#NAME?</f>
        <v>#NAME?</v>
      </c>
    </row>
    <row r="10" spans="1:4" x14ac:dyDescent="0.3">
      <c r="A10" s="48">
        <v>358205080890471</v>
      </c>
      <c r="B10" s="49">
        <v>45335.26053240741</v>
      </c>
      <c r="C10" s="46" t="s">
        <v>193</v>
      </c>
      <c r="D10" s="46" t="e">
        <f>#NAME?</f>
        <v>#NAME?</v>
      </c>
    </row>
    <row r="11" spans="1:4" x14ac:dyDescent="0.3">
      <c r="A11" s="48">
        <v>358205080890554</v>
      </c>
      <c r="B11" s="49">
        <v>45335.463946759257</v>
      </c>
      <c r="C11" s="46" t="s">
        <v>43</v>
      </c>
      <c r="D11" s="46" t="e">
        <f>#NAME?</f>
        <v>#NAME?</v>
      </c>
    </row>
    <row r="12" spans="1:4" x14ac:dyDescent="0.3">
      <c r="A12" s="48">
        <v>358205080890620</v>
      </c>
      <c r="B12" s="49">
        <v>45335.430196759262</v>
      </c>
      <c r="C12" s="46" t="s">
        <v>43</v>
      </c>
      <c r="D12" s="46" t="e">
        <f>#NAME?</f>
        <v>#NAME?</v>
      </c>
    </row>
    <row r="13" spans="1:4" x14ac:dyDescent="0.3">
      <c r="A13" s="48">
        <v>358205080890661</v>
      </c>
      <c r="B13" s="49">
        <v>45335.461689814816</v>
      </c>
      <c r="C13" s="46" t="s">
        <v>43</v>
      </c>
      <c r="D13" s="46" t="e">
        <f>#NAME?</f>
        <v>#NAME?</v>
      </c>
    </row>
    <row r="14" spans="1:4" x14ac:dyDescent="0.3">
      <c r="A14" s="48">
        <v>358205080899597</v>
      </c>
      <c r="B14" s="49">
        <v>45335.642581018517</v>
      </c>
      <c r="C14" s="46" t="s">
        <v>43</v>
      </c>
      <c r="D14" s="46" t="e">
        <f>#NAME?</f>
        <v>#NAME?</v>
      </c>
    </row>
    <row r="15" spans="1:4" x14ac:dyDescent="0.3">
      <c r="A15" s="48">
        <v>358205080902987</v>
      </c>
      <c r="B15" s="49">
        <v>45335.468738425923</v>
      </c>
      <c r="C15" s="46" t="s">
        <v>149</v>
      </c>
      <c r="D15" s="46" t="e">
        <f>#NAME?</f>
        <v>#NAME?</v>
      </c>
    </row>
    <row r="16" spans="1:4" x14ac:dyDescent="0.3">
      <c r="A16" s="48">
        <v>358205080904546</v>
      </c>
      <c r="B16" s="49">
        <v>45335.468252314815</v>
      </c>
      <c r="C16" s="46" t="s">
        <v>222</v>
      </c>
      <c r="D16" s="46" t="e">
        <f>#NAME?</f>
        <v>#NAME?</v>
      </c>
    </row>
    <row r="17" spans="1:4" x14ac:dyDescent="0.3">
      <c r="A17" s="48">
        <v>358205083587207</v>
      </c>
      <c r="B17" s="49">
        <v>45336.218900462962</v>
      </c>
      <c r="C17" s="46" t="s">
        <v>178</v>
      </c>
      <c r="D17" s="46" t="e">
        <f>#NAME?</f>
        <v>#NAME?</v>
      </c>
    </row>
    <row r="18" spans="1:4" x14ac:dyDescent="0.3">
      <c r="A18" s="48">
        <v>358205080890364</v>
      </c>
      <c r="B18" s="49">
        <v>45338.499618055554</v>
      </c>
      <c r="C18" s="46" t="s">
        <v>222</v>
      </c>
      <c r="D18" s="46" t="e">
        <f>#NAME?</f>
        <v>#NAME?</v>
      </c>
    </row>
    <row r="19" spans="1:4" x14ac:dyDescent="0.3">
      <c r="A19" s="48">
        <v>358205080908935</v>
      </c>
      <c r="B19" s="49">
        <v>45337.226076388892</v>
      </c>
      <c r="C19" s="46" t="s">
        <v>89</v>
      </c>
      <c r="D19" s="46" t="e">
        <f>#NAME?</f>
        <v>#NAME?</v>
      </c>
    </row>
    <row r="20" spans="1:4" x14ac:dyDescent="0.3">
      <c r="A20" s="48">
        <v>358205080845657</v>
      </c>
      <c r="B20" s="49">
        <v>45336.422442129631</v>
      </c>
      <c r="C20" s="46" t="s">
        <v>149</v>
      </c>
      <c r="D20" s="46" t="e">
        <f>#NAME?</f>
        <v>#NAME?</v>
      </c>
    </row>
    <row r="21" spans="1:4" x14ac:dyDescent="0.3">
      <c r="A21" s="48">
        <v>358205080845707</v>
      </c>
      <c r="B21" s="49">
        <v>45338.500034722223</v>
      </c>
      <c r="C21" s="46" t="s">
        <v>149</v>
      </c>
      <c r="D21" s="46" t="e">
        <f>#NAME?</f>
        <v>#NAME?</v>
      </c>
    </row>
    <row r="22" spans="1:4" x14ac:dyDescent="0.3">
      <c r="A22" s="48">
        <v>358205080845806</v>
      </c>
      <c r="B22" s="49">
        <v>45338.499618055554</v>
      </c>
      <c r="C22" s="46" t="s">
        <v>149</v>
      </c>
      <c r="D22" s="46" t="e">
        <f>#NAME?</f>
        <v>#NAME?</v>
      </c>
    </row>
    <row r="23" spans="1:4" x14ac:dyDescent="0.3">
      <c r="A23" s="48">
        <v>358205080845822</v>
      </c>
      <c r="B23" s="49">
        <v>45336.261736111112</v>
      </c>
      <c r="C23" s="46" t="s">
        <v>149</v>
      </c>
      <c r="D23" s="46" t="e">
        <f>#NAME?</f>
        <v>#NAME?</v>
      </c>
    </row>
    <row r="24" spans="1:4" x14ac:dyDescent="0.3">
      <c r="A24" s="48">
        <v>358205080845830</v>
      </c>
      <c r="B24" s="49">
        <v>45338.500185185185</v>
      </c>
      <c r="C24" s="46" t="s">
        <v>125</v>
      </c>
      <c r="D24" s="46" t="e">
        <f>#NAME?</f>
        <v>#NAME?</v>
      </c>
    </row>
    <row r="25" spans="1:4" x14ac:dyDescent="0.3">
      <c r="A25" s="48">
        <v>358205080845863</v>
      </c>
      <c r="B25" s="49">
        <v>45336.545798611114</v>
      </c>
      <c r="C25" s="46" t="s">
        <v>149</v>
      </c>
      <c r="D25" s="46" t="e">
        <f>#NAME?</f>
        <v>#NAME?</v>
      </c>
    </row>
    <row r="26" spans="1:4" x14ac:dyDescent="0.3">
      <c r="A26" s="48">
        <v>358205080845871</v>
      </c>
      <c r="B26" s="49">
        <v>45338.228773148148</v>
      </c>
      <c r="C26" s="46" t="s">
        <v>149</v>
      </c>
      <c r="D26" s="46" t="e">
        <f>#NAME?</f>
        <v>#NAME?</v>
      </c>
    </row>
    <row r="27" spans="1:4" x14ac:dyDescent="0.3">
      <c r="A27" s="48">
        <v>358205080846002</v>
      </c>
      <c r="B27" s="49">
        <v>45338.500254629631</v>
      </c>
      <c r="C27" s="46" t="s">
        <v>149</v>
      </c>
      <c r="D27" s="46" t="e">
        <f>#NAME?</f>
        <v>#NAME?</v>
      </c>
    </row>
    <row r="28" spans="1:4" x14ac:dyDescent="0.3">
      <c r="A28" s="48">
        <v>358205080846010</v>
      </c>
      <c r="B28" s="49">
        <v>45338.4997337963</v>
      </c>
      <c r="C28" s="46" t="s">
        <v>149</v>
      </c>
      <c r="D28" s="46" t="e">
        <f>#NAME?</f>
        <v>#NAME?</v>
      </c>
    </row>
    <row r="29" spans="1:4" x14ac:dyDescent="0.3">
      <c r="A29" s="48">
        <v>358205080846101</v>
      </c>
      <c r="B29" s="49">
        <v>45338.499826388892</v>
      </c>
      <c r="C29" s="46" t="s">
        <v>125</v>
      </c>
      <c r="D29" s="46" t="e">
        <f>#NAME?</f>
        <v>#NAME?</v>
      </c>
    </row>
    <row r="30" spans="1:4" x14ac:dyDescent="0.3">
      <c r="A30" s="48">
        <v>358205080846119</v>
      </c>
      <c r="B30" s="49">
        <v>45338.500277777777</v>
      </c>
      <c r="C30" s="46" t="s">
        <v>125</v>
      </c>
      <c r="D30" s="46" t="e">
        <f>#NAME?</f>
        <v>#NAME?</v>
      </c>
    </row>
    <row r="31" spans="1:4" x14ac:dyDescent="0.3">
      <c r="A31" s="48">
        <v>358205080846135</v>
      </c>
      <c r="B31" s="49">
        <v>45338.499641203707</v>
      </c>
      <c r="C31" s="46" t="s">
        <v>125</v>
      </c>
      <c r="D31" s="46" t="e">
        <f>#NAME?</f>
        <v>#NAME?</v>
      </c>
    </row>
    <row r="32" spans="1:4" x14ac:dyDescent="0.3">
      <c r="A32" s="48">
        <v>358205080846143</v>
      </c>
      <c r="B32" s="49">
        <v>45338.500219907408</v>
      </c>
      <c r="C32" s="46" t="s">
        <v>125</v>
      </c>
      <c r="D32" s="46" t="e">
        <f>#NAME?</f>
        <v>#NAME?</v>
      </c>
    </row>
    <row r="33" spans="1:4" x14ac:dyDescent="0.3">
      <c r="A33" s="48">
        <v>358205080846176</v>
      </c>
      <c r="B33" s="49">
        <v>45337.798483796294</v>
      </c>
      <c r="C33" s="46" t="s">
        <v>125</v>
      </c>
      <c r="D33" s="46" t="e">
        <f>#NAME?</f>
        <v>#NAME?</v>
      </c>
    </row>
    <row r="34" spans="1:4" x14ac:dyDescent="0.3">
      <c r="A34" s="48">
        <v>358205080846283</v>
      </c>
      <c r="B34" s="49">
        <v>45338.500289351854</v>
      </c>
      <c r="C34" s="46" t="s">
        <v>125</v>
      </c>
      <c r="D34" s="46" t="e">
        <f>#NAME?</f>
        <v>#NAME?</v>
      </c>
    </row>
    <row r="35" spans="1:4" x14ac:dyDescent="0.3">
      <c r="A35" s="48">
        <v>358205080846291</v>
      </c>
      <c r="B35" s="49">
        <v>45338.499907407408</v>
      </c>
      <c r="C35" s="46" t="s">
        <v>125</v>
      </c>
      <c r="D35" s="46" t="e">
        <f>#NAME?</f>
        <v>#NAME?</v>
      </c>
    </row>
    <row r="36" spans="1:4" x14ac:dyDescent="0.3">
      <c r="A36" s="48">
        <v>358205080846374</v>
      </c>
      <c r="B36" s="49">
        <v>45338.500219907408</v>
      </c>
      <c r="C36" s="46" t="s">
        <v>125</v>
      </c>
      <c r="D36" s="46" t="e">
        <f>#NAME?</f>
        <v>#NAME?</v>
      </c>
    </row>
    <row r="37" spans="1:4" x14ac:dyDescent="0.3">
      <c r="A37" s="48">
        <v>358205080847109</v>
      </c>
      <c r="B37" s="49">
        <v>45338.500104166669</v>
      </c>
      <c r="C37" s="46" t="s">
        <v>149</v>
      </c>
      <c r="D37" s="46" t="e">
        <f>#NAME?</f>
        <v>#NAME?</v>
      </c>
    </row>
    <row r="38" spans="1:4" x14ac:dyDescent="0.3">
      <c r="A38" s="48">
        <v>358205080847299</v>
      </c>
      <c r="B38" s="49">
        <v>45338.499641203707</v>
      </c>
      <c r="C38" s="46" t="s">
        <v>149</v>
      </c>
      <c r="D38" s="46" t="e">
        <f>#NAME?</f>
        <v>#NAME?</v>
      </c>
    </row>
    <row r="39" spans="1:4" x14ac:dyDescent="0.3">
      <c r="A39" s="48">
        <v>358205080847364</v>
      </c>
      <c r="B39" s="49">
        <v>45338.499849537038</v>
      </c>
      <c r="C39" s="46" t="s">
        <v>178</v>
      </c>
      <c r="D39" s="46" t="e">
        <f>#NAME?</f>
        <v>#NAME?</v>
      </c>
    </row>
    <row r="40" spans="1:4" x14ac:dyDescent="0.3">
      <c r="A40" s="48">
        <v>358205080871604</v>
      </c>
      <c r="B40" s="49">
        <v>45338.499641203707</v>
      </c>
      <c r="C40" s="46" t="s">
        <v>149</v>
      </c>
      <c r="D40" s="46" t="e">
        <f>#NAME?</f>
        <v>#NAME?</v>
      </c>
    </row>
    <row r="41" spans="1:4" x14ac:dyDescent="0.3">
      <c r="A41" s="48">
        <v>358205080871646</v>
      </c>
      <c r="B41" s="49">
        <v>45337.586099537039</v>
      </c>
      <c r="C41" s="46" t="s">
        <v>223</v>
      </c>
      <c r="D41" s="46" t="e">
        <f>#NAME?</f>
        <v>#NAME?</v>
      </c>
    </row>
    <row r="42" spans="1:4" x14ac:dyDescent="0.3">
      <c r="A42" s="48">
        <v>358205080871661</v>
      </c>
      <c r="B42" s="49">
        <v>45336.312407407408</v>
      </c>
      <c r="C42" s="46" t="s">
        <v>223</v>
      </c>
      <c r="D42" s="46" t="e">
        <f>#NAME?</f>
        <v>#NAME?</v>
      </c>
    </row>
    <row r="43" spans="1:4" x14ac:dyDescent="0.3">
      <c r="A43" s="48">
        <v>358205080871687</v>
      </c>
      <c r="B43" s="49">
        <v>45338.5003125</v>
      </c>
      <c r="C43" s="46" t="s">
        <v>125</v>
      </c>
      <c r="D43" s="46" t="e">
        <f>#NAME?</f>
        <v>#NAME?</v>
      </c>
    </row>
    <row r="44" spans="1:4" x14ac:dyDescent="0.3">
      <c r="A44" s="48">
        <v>358205080871695</v>
      </c>
      <c r="B44" s="49">
        <v>45338.322233796294</v>
      </c>
      <c r="C44" s="46" t="s">
        <v>149</v>
      </c>
      <c r="D44" s="46" t="e">
        <f>#NAME?</f>
        <v>#NAME?</v>
      </c>
    </row>
    <row r="45" spans="1:4" x14ac:dyDescent="0.3">
      <c r="A45" s="48">
        <v>358205080871703</v>
      </c>
      <c r="B45" s="49">
        <v>45337.955578703702</v>
      </c>
      <c r="C45" s="46" t="s">
        <v>149</v>
      </c>
      <c r="D45" s="46" t="e">
        <f>#NAME?</f>
        <v>#NAME?</v>
      </c>
    </row>
    <row r="46" spans="1:4" x14ac:dyDescent="0.3">
      <c r="A46" s="48">
        <v>358205080871760</v>
      </c>
      <c r="B46" s="49">
        <v>45338.499710648146</v>
      </c>
      <c r="C46" s="46" t="s">
        <v>223</v>
      </c>
      <c r="D46" s="46" t="e">
        <f>#NAME?</f>
        <v>#NAME?</v>
      </c>
    </row>
    <row r="47" spans="1:4" x14ac:dyDescent="0.3">
      <c r="A47" s="48">
        <v>358205080871778</v>
      </c>
      <c r="B47" s="49">
        <v>45338.499745370369</v>
      </c>
      <c r="C47" s="46" t="s">
        <v>149</v>
      </c>
      <c r="D47" s="46" t="e">
        <f>#NAME?</f>
        <v>#NAME?</v>
      </c>
    </row>
    <row r="48" spans="1:4" x14ac:dyDescent="0.3">
      <c r="A48" s="48">
        <v>358205080871810</v>
      </c>
      <c r="B48" s="49">
        <v>45338.49962962963</v>
      </c>
      <c r="C48" s="46" t="s">
        <v>223</v>
      </c>
      <c r="D48" s="46" t="e">
        <f>#NAME?</f>
        <v>#NAME?</v>
      </c>
    </row>
    <row r="49" spans="1:4" x14ac:dyDescent="0.3">
      <c r="A49" s="48">
        <v>358205080871836</v>
      </c>
      <c r="B49" s="49">
        <v>45338.500081018516</v>
      </c>
      <c r="C49" s="46" t="s">
        <v>223</v>
      </c>
      <c r="D49" s="46" t="e">
        <f>#NAME?</f>
        <v>#NAME?</v>
      </c>
    </row>
    <row r="50" spans="1:4" x14ac:dyDescent="0.3">
      <c r="A50" s="48">
        <v>358205080871844</v>
      </c>
      <c r="B50" s="49">
        <v>45336.222384259258</v>
      </c>
      <c r="C50" s="46" t="s">
        <v>223</v>
      </c>
      <c r="D50" s="46" t="e">
        <f>#NAME?</f>
        <v>#NAME?</v>
      </c>
    </row>
    <row r="51" spans="1:4" x14ac:dyDescent="0.3">
      <c r="A51" s="48">
        <v>358205080871869</v>
      </c>
      <c r="B51" s="49">
        <v>45338.499837962961</v>
      </c>
      <c r="C51" s="46" t="s">
        <v>223</v>
      </c>
      <c r="D51" s="46" t="e">
        <f>#NAME?</f>
        <v>#NAME?</v>
      </c>
    </row>
    <row r="52" spans="1:4" x14ac:dyDescent="0.3">
      <c r="A52" s="48">
        <v>358205080871893</v>
      </c>
      <c r="B52" s="49">
        <v>45335.8125462963</v>
      </c>
      <c r="C52" s="46" t="s">
        <v>222</v>
      </c>
      <c r="D52" s="46" t="e">
        <f>#NAME?</f>
        <v>#NAME?</v>
      </c>
    </row>
    <row r="53" spans="1:4" x14ac:dyDescent="0.3">
      <c r="A53" s="48">
        <v>358205080872008</v>
      </c>
      <c r="B53" s="49">
        <v>45338.316435185188</v>
      </c>
      <c r="C53" s="46" t="s">
        <v>149</v>
      </c>
      <c r="D53" s="46" t="e">
        <f>#NAME?</f>
        <v>#NAME?</v>
      </c>
    </row>
    <row r="54" spans="1:4" x14ac:dyDescent="0.3">
      <c r="A54" s="48">
        <v>358205080872016</v>
      </c>
      <c r="B54" s="49">
        <v>45336.316469907404</v>
      </c>
      <c r="C54" s="46" t="s">
        <v>223</v>
      </c>
      <c r="D54" s="46" t="e">
        <f>#NAME?</f>
        <v>#NAME?</v>
      </c>
    </row>
    <row r="55" spans="1:4" x14ac:dyDescent="0.3">
      <c r="A55" s="48">
        <v>358205080883617</v>
      </c>
      <c r="B55" s="49">
        <v>45338.29414351852</v>
      </c>
      <c r="C55" s="46" t="s">
        <v>149</v>
      </c>
      <c r="D55" s="46" t="e">
        <f>#NAME?</f>
        <v>#NAME?</v>
      </c>
    </row>
    <row r="56" spans="1:4" x14ac:dyDescent="0.3">
      <c r="A56" s="48">
        <v>358205080883658</v>
      </c>
      <c r="B56" s="49">
        <v>45338.499745370369</v>
      </c>
      <c r="C56" s="46" t="s">
        <v>222</v>
      </c>
      <c r="D56" s="46" t="e">
        <f>#NAME?</f>
        <v>#NAME?</v>
      </c>
    </row>
    <row r="57" spans="1:4" x14ac:dyDescent="0.3">
      <c r="A57" s="48">
        <v>358205080883674</v>
      </c>
      <c r="B57" s="49">
        <v>45338.498148148145</v>
      </c>
      <c r="C57" s="46" t="s">
        <v>222</v>
      </c>
      <c r="D57" s="46" t="e">
        <f>#NAME?</f>
        <v>#NAME?</v>
      </c>
    </row>
    <row r="58" spans="1:4" x14ac:dyDescent="0.3">
      <c r="A58" s="48">
        <v>358205080883740</v>
      </c>
      <c r="B58" s="49">
        <v>45338.5</v>
      </c>
      <c r="C58" s="46" t="s">
        <v>223</v>
      </c>
      <c r="D58" s="46" t="e">
        <f>#NAME?</f>
        <v>#NAME?</v>
      </c>
    </row>
    <row r="59" spans="1:4" x14ac:dyDescent="0.3">
      <c r="A59" s="48">
        <v>358205080883757</v>
      </c>
      <c r="B59" s="49">
        <v>45337.582916666666</v>
      </c>
      <c r="C59" s="46" t="s">
        <v>223</v>
      </c>
      <c r="D59" s="46" t="e">
        <f>#NAME?</f>
        <v>#NAME?</v>
      </c>
    </row>
    <row r="60" spans="1:4" x14ac:dyDescent="0.3">
      <c r="A60" s="48">
        <v>358205080883765</v>
      </c>
      <c r="B60" s="49">
        <v>45337.417905092596</v>
      </c>
      <c r="C60" s="46" t="s">
        <v>223</v>
      </c>
      <c r="D60" s="46" t="e">
        <f>#NAME?</f>
        <v>#NAME?</v>
      </c>
    </row>
    <row r="61" spans="1:4" x14ac:dyDescent="0.3">
      <c r="A61" s="48">
        <v>358205080883781</v>
      </c>
      <c r="B61" s="49">
        <v>45336.55505787037</v>
      </c>
      <c r="C61" s="46" t="s">
        <v>223</v>
      </c>
      <c r="D61" s="46" t="e">
        <f>#NAME?</f>
        <v>#NAME?</v>
      </c>
    </row>
    <row r="62" spans="1:4" x14ac:dyDescent="0.3">
      <c r="A62" s="48">
        <v>358205080883799</v>
      </c>
      <c r="B62" s="49">
        <v>45336.235474537039</v>
      </c>
      <c r="C62" s="46" t="s">
        <v>223</v>
      </c>
      <c r="D62" s="46" t="e">
        <f>#NAME?</f>
        <v>#NAME?</v>
      </c>
    </row>
    <row r="63" spans="1:4" x14ac:dyDescent="0.3">
      <c r="A63" s="48">
        <v>358205080883807</v>
      </c>
      <c r="B63" s="49">
        <v>45338.500150462962</v>
      </c>
      <c r="C63" s="46" t="s">
        <v>223</v>
      </c>
      <c r="D63" s="46" t="e">
        <f>#NAME?</f>
        <v>#NAME?</v>
      </c>
    </row>
    <row r="64" spans="1:4" x14ac:dyDescent="0.3">
      <c r="A64" s="48">
        <v>358205080883815</v>
      </c>
      <c r="B64" s="49">
        <v>45337.548414351855</v>
      </c>
      <c r="C64" s="46" t="s">
        <v>223</v>
      </c>
      <c r="D64" s="46" t="e">
        <f>#NAME?</f>
        <v>#NAME?</v>
      </c>
    </row>
    <row r="65" spans="1:4" x14ac:dyDescent="0.3">
      <c r="A65" s="48">
        <v>358205080883849</v>
      </c>
      <c r="B65" s="49">
        <v>45336.580937500003</v>
      </c>
      <c r="C65" s="46" t="s">
        <v>223</v>
      </c>
      <c r="D65" s="46" t="e">
        <f>#NAME?</f>
        <v>#NAME?</v>
      </c>
    </row>
    <row r="66" spans="1:4" x14ac:dyDescent="0.3">
      <c r="A66" s="48">
        <v>358205080883872</v>
      </c>
      <c r="B66" s="49">
        <v>45337.42082175926</v>
      </c>
      <c r="C66" s="46" t="s">
        <v>223</v>
      </c>
      <c r="D66" s="46" t="e">
        <f>#NAME?</f>
        <v>#NAME?</v>
      </c>
    </row>
    <row r="67" spans="1:4" x14ac:dyDescent="0.3">
      <c r="A67" s="48">
        <v>358205080883906</v>
      </c>
      <c r="B67" s="49">
        <v>45338.499988425923</v>
      </c>
      <c r="C67" s="46" t="s">
        <v>223</v>
      </c>
      <c r="D67" s="46" t="e">
        <f>#NAME?</f>
        <v>#NAME?</v>
      </c>
    </row>
    <row r="68" spans="1:4" x14ac:dyDescent="0.3">
      <c r="A68" s="48">
        <v>358205080883922</v>
      </c>
      <c r="B68" s="49">
        <v>45338.500127314815</v>
      </c>
      <c r="C68" s="46" t="s">
        <v>223</v>
      </c>
      <c r="D68" s="46" t="e">
        <f>#NAME?</f>
        <v>#NAME?</v>
      </c>
    </row>
    <row r="69" spans="1:4" x14ac:dyDescent="0.3">
      <c r="A69" s="48">
        <v>358205080888699</v>
      </c>
      <c r="B69" s="49">
        <v>45338.5</v>
      </c>
      <c r="C69" s="46" t="s">
        <v>223</v>
      </c>
      <c r="D69" s="46" t="e">
        <f>#NAME?</f>
        <v>#NAME?</v>
      </c>
    </row>
    <row r="70" spans="1:4" x14ac:dyDescent="0.3">
      <c r="A70" s="48">
        <v>358205080888707</v>
      </c>
      <c r="B70" s="49">
        <v>45338.500127314815</v>
      </c>
      <c r="C70" s="46" t="s">
        <v>223</v>
      </c>
      <c r="D70" s="46" t="e">
        <f>#NAME?</f>
        <v>#NAME?</v>
      </c>
    </row>
    <row r="71" spans="1:4" x14ac:dyDescent="0.3">
      <c r="A71" s="48">
        <v>358205080888723</v>
      </c>
      <c r="B71" s="49">
        <v>45336.261365740742</v>
      </c>
      <c r="C71" s="46" t="s">
        <v>223</v>
      </c>
      <c r="D71" s="46" t="e">
        <f>#NAME?</f>
        <v>#NAME?</v>
      </c>
    </row>
    <row r="72" spans="1:4" x14ac:dyDescent="0.3">
      <c r="A72" s="48">
        <v>358205080888731</v>
      </c>
      <c r="B72" s="49">
        <v>45338.4996875</v>
      </c>
      <c r="C72" s="46" t="s">
        <v>223</v>
      </c>
      <c r="D72" s="46" t="e">
        <f>#NAME?</f>
        <v>#NAME?</v>
      </c>
    </row>
    <row r="73" spans="1:4" x14ac:dyDescent="0.3">
      <c r="A73" s="48">
        <v>358205080888749</v>
      </c>
      <c r="B73" s="49">
        <v>45338.499826388892</v>
      </c>
      <c r="C73" s="46" t="s">
        <v>223</v>
      </c>
      <c r="D73" s="46" t="e">
        <f>#NAME?</f>
        <v>#NAME?</v>
      </c>
    </row>
    <row r="74" spans="1:4" x14ac:dyDescent="0.3">
      <c r="A74" s="48">
        <v>358205080888756</v>
      </c>
      <c r="B74" s="49">
        <v>45338.499699074076</v>
      </c>
      <c r="C74" s="46" t="s">
        <v>223</v>
      </c>
      <c r="D74" s="46" t="e">
        <f>#NAME?</f>
        <v>#NAME?</v>
      </c>
    </row>
    <row r="75" spans="1:4" x14ac:dyDescent="0.3">
      <c r="A75" s="48">
        <v>358205080888830</v>
      </c>
      <c r="B75" s="49">
        <v>45338.5</v>
      </c>
      <c r="C75" s="46" t="s">
        <v>222</v>
      </c>
      <c r="D75" s="46" t="e">
        <f>#NAME?</f>
        <v>#NAME?</v>
      </c>
    </row>
    <row r="76" spans="1:4" x14ac:dyDescent="0.3">
      <c r="A76" s="48">
        <v>358205080888863</v>
      </c>
      <c r="B76" s="49">
        <v>45336.287083333336</v>
      </c>
      <c r="C76" s="46" t="s">
        <v>223</v>
      </c>
      <c r="D76" s="46" t="e">
        <f>#NAME?</f>
        <v>#NAME?</v>
      </c>
    </row>
    <row r="77" spans="1:4" x14ac:dyDescent="0.3">
      <c r="A77" s="48">
        <v>358205080888889</v>
      </c>
      <c r="B77" s="49">
        <v>45338.499965277777</v>
      </c>
      <c r="C77" s="46" t="s">
        <v>222</v>
      </c>
      <c r="D77" s="46" t="e">
        <f>#NAME?</f>
        <v>#NAME?</v>
      </c>
    </row>
    <row r="78" spans="1:4" x14ac:dyDescent="0.3">
      <c r="A78" s="48">
        <v>358205080888897</v>
      </c>
      <c r="B78" s="49">
        <v>45336.524212962962</v>
      </c>
      <c r="C78" s="46" t="s">
        <v>223</v>
      </c>
      <c r="D78" s="46" t="e">
        <f>#NAME?</f>
        <v>#NAME?</v>
      </c>
    </row>
    <row r="79" spans="1:4" x14ac:dyDescent="0.3">
      <c r="A79" s="48">
        <v>358205080888905</v>
      </c>
      <c r="B79" s="49">
        <v>45338.262557870374</v>
      </c>
      <c r="C79" s="46" t="s">
        <v>223</v>
      </c>
      <c r="D79" s="46" t="e">
        <f>#NAME?</f>
        <v>#NAME?</v>
      </c>
    </row>
    <row r="80" spans="1:4" x14ac:dyDescent="0.3">
      <c r="A80" s="48">
        <v>358205080888921</v>
      </c>
      <c r="B80" s="49">
        <v>45337.798090277778</v>
      </c>
      <c r="C80" s="46" t="s">
        <v>125</v>
      </c>
      <c r="D80" s="46" t="e">
        <f>#NAME?</f>
        <v>#NAME?</v>
      </c>
    </row>
    <row r="81" spans="1:4" x14ac:dyDescent="0.3">
      <c r="A81" s="48">
        <v>358205080888939</v>
      </c>
      <c r="B81" s="49">
        <v>45336.324282407404</v>
      </c>
      <c r="C81" s="46" t="s">
        <v>222</v>
      </c>
      <c r="D81" s="46" t="e">
        <f>#NAME?</f>
        <v>#NAME?</v>
      </c>
    </row>
    <row r="82" spans="1:4" x14ac:dyDescent="0.3">
      <c r="A82" s="48">
        <v>358205080888947</v>
      </c>
      <c r="B82" s="49">
        <v>45338.499837962961</v>
      </c>
      <c r="C82" s="46" t="s">
        <v>223</v>
      </c>
      <c r="D82" s="46" t="e">
        <f>#NAME?</f>
        <v>#NAME?</v>
      </c>
    </row>
    <row r="83" spans="1:4" x14ac:dyDescent="0.3">
      <c r="A83" s="48">
        <v>358205080888954</v>
      </c>
      <c r="B83" s="49">
        <v>45338.500185185185</v>
      </c>
      <c r="C83" s="46" t="s">
        <v>193</v>
      </c>
      <c r="D83" s="46" t="e">
        <f>#NAME?</f>
        <v>#NAME?</v>
      </c>
    </row>
    <row r="84" spans="1:4" x14ac:dyDescent="0.3">
      <c r="A84" s="48">
        <v>358205080889010</v>
      </c>
      <c r="B84" s="49">
        <v>45336.50136574074</v>
      </c>
      <c r="C84" s="46" t="s">
        <v>193</v>
      </c>
      <c r="D84" s="46" t="e">
        <f>#NAME?</f>
        <v>#NAME?</v>
      </c>
    </row>
    <row r="85" spans="1:4" x14ac:dyDescent="0.3">
      <c r="A85" s="48">
        <v>358205080889085</v>
      </c>
      <c r="B85" s="49">
        <v>45336.501875000002</v>
      </c>
      <c r="C85" s="46" t="s">
        <v>193</v>
      </c>
      <c r="D85" s="46" t="e">
        <f>#NAME?</f>
        <v>#NAME?</v>
      </c>
    </row>
    <row r="86" spans="1:4" x14ac:dyDescent="0.3">
      <c r="A86" s="48">
        <v>358205080889143</v>
      </c>
      <c r="B86" s="49">
        <v>45338.500208333331</v>
      </c>
      <c r="C86" s="46" t="s">
        <v>89</v>
      </c>
      <c r="D86" s="46" t="e">
        <f>#NAME?</f>
        <v>#NAME?</v>
      </c>
    </row>
    <row r="87" spans="1:4" x14ac:dyDescent="0.3">
      <c r="A87" s="48">
        <v>358205080889168</v>
      </c>
      <c r="B87" s="49">
        <v>45338.4999537037</v>
      </c>
      <c r="C87" s="46" t="s">
        <v>89</v>
      </c>
      <c r="D87" s="46" t="e">
        <f>#NAME?</f>
        <v>#NAME?</v>
      </c>
    </row>
    <row r="88" spans="1:4" x14ac:dyDescent="0.3">
      <c r="A88" s="48">
        <v>358205080889374</v>
      </c>
      <c r="B88" s="49">
        <v>45336.225185185183</v>
      </c>
      <c r="C88" s="46" t="s">
        <v>193</v>
      </c>
      <c r="D88" s="46" t="e">
        <f>#NAME?</f>
        <v>#NAME?</v>
      </c>
    </row>
    <row r="89" spans="1:4" x14ac:dyDescent="0.3">
      <c r="A89" s="48">
        <v>358205080889465</v>
      </c>
      <c r="B89" s="49">
        <v>45338.499861111108</v>
      </c>
      <c r="C89" s="46" t="s">
        <v>89</v>
      </c>
      <c r="D89" s="46" t="e">
        <f>#NAME?</f>
        <v>#NAME?</v>
      </c>
    </row>
    <row r="90" spans="1:4" x14ac:dyDescent="0.3">
      <c r="A90" s="48">
        <v>358205080889515</v>
      </c>
      <c r="B90" s="49">
        <v>45338.500185185185</v>
      </c>
      <c r="C90" s="46" t="s">
        <v>222</v>
      </c>
      <c r="D90" s="46" t="e">
        <f>#NAME?</f>
        <v>#NAME?</v>
      </c>
    </row>
    <row r="91" spans="1:4" x14ac:dyDescent="0.3">
      <c r="A91" s="48">
        <v>358205080889556</v>
      </c>
      <c r="B91" s="49">
        <v>45336.843275462961</v>
      </c>
      <c r="C91" s="46" t="s">
        <v>193</v>
      </c>
      <c r="D91" s="46" t="e">
        <f>#NAME?</f>
        <v>#NAME?</v>
      </c>
    </row>
    <row r="92" spans="1:4" x14ac:dyDescent="0.3">
      <c r="A92" s="48">
        <v>358205080889564</v>
      </c>
      <c r="B92" s="49">
        <v>45337.52547453704</v>
      </c>
      <c r="C92" s="46" t="s">
        <v>223</v>
      </c>
      <c r="D92" s="46" t="e">
        <f>#NAME?</f>
        <v>#NAME?</v>
      </c>
    </row>
    <row r="93" spans="1:4" x14ac:dyDescent="0.3">
      <c r="A93" s="48">
        <v>358205080889572</v>
      </c>
      <c r="B93" s="49">
        <v>45338.028275462966</v>
      </c>
      <c r="C93" s="46" t="s">
        <v>222</v>
      </c>
      <c r="D93" s="46" t="e">
        <f>#NAME?</f>
        <v>#NAME?</v>
      </c>
    </row>
    <row r="94" spans="1:4" x14ac:dyDescent="0.3">
      <c r="A94" s="48">
        <v>358205080889606</v>
      </c>
      <c r="B94" s="49">
        <v>45338.49962962963</v>
      </c>
      <c r="C94" s="46" t="s">
        <v>222</v>
      </c>
      <c r="D94" s="46" t="e">
        <f>#NAME?</f>
        <v>#NAME?</v>
      </c>
    </row>
    <row r="95" spans="1:4" x14ac:dyDescent="0.3">
      <c r="A95" s="48">
        <v>358205080889614</v>
      </c>
      <c r="B95" s="49">
        <v>45338.499895833331</v>
      </c>
      <c r="C95" s="46" t="s">
        <v>223</v>
      </c>
      <c r="D95" s="46" t="e">
        <f>#NAME?</f>
        <v>#NAME?</v>
      </c>
    </row>
    <row r="96" spans="1:4" x14ac:dyDescent="0.3">
      <c r="A96" s="48">
        <v>358205080889622</v>
      </c>
      <c r="B96" s="49">
        <v>45337.428032407406</v>
      </c>
      <c r="C96" s="46" t="s">
        <v>223</v>
      </c>
      <c r="D96" s="46" t="e">
        <f>#NAME?</f>
        <v>#NAME?</v>
      </c>
    </row>
    <row r="97" spans="1:4" x14ac:dyDescent="0.3">
      <c r="A97" s="48">
        <v>358205080889648</v>
      </c>
      <c r="B97" s="49">
        <v>45338.234050925923</v>
      </c>
      <c r="C97" s="46" t="s">
        <v>89</v>
      </c>
      <c r="D97" s="46" t="e">
        <f>#NAME?</f>
        <v>#NAME?</v>
      </c>
    </row>
    <row r="98" spans="1:4" x14ac:dyDescent="0.3">
      <c r="A98" s="48">
        <v>358205080889655</v>
      </c>
      <c r="B98" s="49">
        <v>45336.308749999997</v>
      </c>
      <c r="C98" s="46" t="s">
        <v>223</v>
      </c>
      <c r="D98" s="46" t="e">
        <f>#NAME?</f>
        <v>#NAME?</v>
      </c>
    </row>
    <row r="99" spans="1:4" x14ac:dyDescent="0.3">
      <c r="A99" s="48">
        <v>358205080889689</v>
      </c>
      <c r="B99" s="49">
        <v>45336.308981481481</v>
      </c>
      <c r="C99" s="46" t="s">
        <v>223</v>
      </c>
      <c r="D99" s="46" t="e">
        <f>#NAME?</f>
        <v>#NAME?</v>
      </c>
    </row>
    <row r="100" spans="1:4" x14ac:dyDescent="0.3">
      <c r="A100" s="48">
        <v>358205080889705</v>
      </c>
      <c r="B100" s="49">
        <v>45336.280833333331</v>
      </c>
      <c r="C100" s="46" t="s">
        <v>223</v>
      </c>
      <c r="D100" s="46" t="e">
        <f>#NAME?</f>
        <v>#NAME?</v>
      </c>
    </row>
    <row r="101" spans="1:4" x14ac:dyDescent="0.3">
      <c r="A101" s="48">
        <v>358205080889747</v>
      </c>
      <c r="B101" s="49">
        <v>45338.500243055554</v>
      </c>
      <c r="C101" s="46" t="s">
        <v>89</v>
      </c>
      <c r="D101" s="46" t="e">
        <f>#NAME?</f>
        <v>#NAME?</v>
      </c>
    </row>
    <row r="102" spans="1:4" x14ac:dyDescent="0.3">
      <c r="A102" s="48">
        <v>358205080889762</v>
      </c>
      <c r="B102" s="49">
        <v>45336.582430555558</v>
      </c>
      <c r="C102" s="46" t="s">
        <v>223</v>
      </c>
      <c r="D102" s="46" t="e">
        <f>#NAME?</f>
        <v>#NAME?</v>
      </c>
    </row>
    <row r="103" spans="1:4" x14ac:dyDescent="0.3">
      <c r="A103" s="48">
        <v>358205080889812</v>
      </c>
      <c r="B103" s="49">
        <v>45336.231759259259</v>
      </c>
      <c r="C103" s="46" t="s">
        <v>223</v>
      </c>
      <c r="D103" s="46" t="e">
        <f>#NAME?</f>
        <v>#NAME?</v>
      </c>
    </row>
    <row r="104" spans="1:4" x14ac:dyDescent="0.3">
      <c r="A104" s="48">
        <v>358205080889853</v>
      </c>
      <c r="B104" s="49">
        <v>45338.500300925924</v>
      </c>
      <c r="C104" s="46" t="s">
        <v>193</v>
      </c>
      <c r="D104" s="46" t="e">
        <f>#NAME?</f>
        <v>#NAME?</v>
      </c>
    </row>
    <row r="105" spans="1:4" x14ac:dyDescent="0.3">
      <c r="A105" s="48">
        <v>358205080889887</v>
      </c>
      <c r="B105" s="49">
        <v>45338.499791666669</v>
      </c>
      <c r="C105" s="46" t="s">
        <v>43</v>
      </c>
      <c r="D105" s="46" t="e">
        <f>#NAME?</f>
        <v>#NAME?</v>
      </c>
    </row>
    <row r="106" spans="1:4" x14ac:dyDescent="0.3">
      <c r="A106" s="48">
        <v>358205080889911</v>
      </c>
      <c r="B106" s="49">
        <v>45336.282071759262</v>
      </c>
      <c r="C106" s="46" t="s">
        <v>223</v>
      </c>
      <c r="D106" s="46" t="e">
        <f>#NAME?</f>
        <v>#NAME?</v>
      </c>
    </row>
    <row r="107" spans="1:4" x14ac:dyDescent="0.3">
      <c r="A107" s="48">
        <v>358205080889929</v>
      </c>
      <c r="B107" s="49">
        <v>45338.46497685185</v>
      </c>
      <c r="C107" s="46" t="s">
        <v>223</v>
      </c>
      <c r="D107" s="46" t="e">
        <f>#NAME?</f>
        <v>#NAME?</v>
      </c>
    </row>
    <row r="108" spans="1:4" x14ac:dyDescent="0.3">
      <c r="A108" s="48">
        <v>358205080889986</v>
      </c>
      <c r="B108" s="49">
        <v>45338.499803240738</v>
      </c>
      <c r="C108" s="46" t="s">
        <v>43</v>
      </c>
      <c r="D108" s="46" t="e">
        <f>#NAME?</f>
        <v>#NAME?</v>
      </c>
    </row>
    <row r="109" spans="1:4" x14ac:dyDescent="0.3">
      <c r="A109" s="48">
        <v>358205080890000</v>
      </c>
      <c r="B109" s="49">
        <v>45338.499641203707</v>
      </c>
      <c r="C109" s="46" t="s">
        <v>222</v>
      </c>
      <c r="D109" s="46" t="e">
        <f>#NAME?</f>
        <v>#NAME?</v>
      </c>
    </row>
    <row r="110" spans="1:4" x14ac:dyDescent="0.3">
      <c r="A110" s="48">
        <v>358205080890018</v>
      </c>
      <c r="B110" s="49">
        <v>45338.500069444446</v>
      </c>
      <c r="C110" s="46" t="s">
        <v>89</v>
      </c>
      <c r="D110" s="46" t="e">
        <f>#NAME?</f>
        <v>#NAME?</v>
      </c>
    </row>
    <row r="111" spans="1:4" x14ac:dyDescent="0.3">
      <c r="A111" s="48">
        <v>358205080890026</v>
      </c>
      <c r="B111" s="49">
        <v>45338.499722222223</v>
      </c>
      <c r="C111" s="46" t="s">
        <v>223</v>
      </c>
      <c r="D111" s="46" t="e">
        <f>#NAME?</f>
        <v>#NAME?</v>
      </c>
    </row>
    <row r="112" spans="1:4" x14ac:dyDescent="0.3">
      <c r="A112" s="48">
        <v>358205080890042</v>
      </c>
      <c r="B112" s="49">
        <v>45336.286759259259</v>
      </c>
      <c r="C112" s="46" t="s">
        <v>223</v>
      </c>
      <c r="D112" s="46" t="e">
        <f>#NAME?</f>
        <v>#NAME?</v>
      </c>
    </row>
    <row r="113" spans="1:4" x14ac:dyDescent="0.3">
      <c r="A113" s="48">
        <v>358205080890083</v>
      </c>
      <c r="B113" s="49">
        <v>45338.232731481483</v>
      </c>
      <c r="C113" s="46" t="s">
        <v>89</v>
      </c>
      <c r="D113" s="46" t="e">
        <f>#NAME?</f>
        <v>#NAME?</v>
      </c>
    </row>
    <row r="114" spans="1:4" x14ac:dyDescent="0.3">
      <c r="A114" s="48">
        <v>358205080890109</v>
      </c>
      <c r="B114" s="49">
        <v>45338.500138888892</v>
      </c>
      <c r="C114" s="46" t="s">
        <v>222</v>
      </c>
      <c r="D114" s="46" t="e">
        <f>#NAME?</f>
        <v>#NAME?</v>
      </c>
    </row>
    <row r="115" spans="1:4" x14ac:dyDescent="0.3">
      <c r="A115" s="48">
        <v>358205080890125</v>
      </c>
      <c r="B115" s="49">
        <v>45338.499745370369</v>
      </c>
      <c r="C115" s="46" t="s">
        <v>223</v>
      </c>
      <c r="D115" s="46" t="e">
        <f>#NAME?</f>
        <v>#NAME?</v>
      </c>
    </row>
    <row r="116" spans="1:4" x14ac:dyDescent="0.3">
      <c r="A116" s="48">
        <v>358205080890133</v>
      </c>
      <c r="B116" s="49">
        <v>45338.499768518515</v>
      </c>
      <c r="C116" s="46" t="s">
        <v>222</v>
      </c>
      <c r="D116" s="46" t="e">
        <f>#NAME?</f>
        <v>#NAME?</v>
      </c>
    </row>
    <row r="117" spans="1:4" x14ac:dyDescent="0.3">
      <c r="A117" s="48">
        <v>358205080890166</v>
      </c>
      <c r="B117" s="49">
        <v>45338.499988425923</v>
      </c>
      <c r="C117" s="46" t="s">
        <v>222</v>
      </c>
      <c r="D117" s="46" t="e">
        <f>#NAME?</f>
        <v>#NAME?</v>
      </c>
    </row>
    <row r="118" spans="1:4" x14ac:dyDescent="0.3">
      <c r="A118" s="48">
        <v>358205080890174</v>
      </c>
      <c r="B118" s="49">
        <v>45338.49962962963</v>
      </c>
      <c r="C118" s="46" t="s">
        <v>223</v>
      </c>
      <c r="D118" s="46" t="e">
        <f>#NAME?</f>
        <v>#NAME?</v>
      </c>
    </row>
    <row r="119" spans="1:4" x14ac:dyDescent="0.3">
      <c r="A119" s="48">
        <v>358205080890182</v>
      </c>
      <c r="B119" s="49">
        <v>45338.499918981484</v>
      </c>
      <c r="C119" s="46" t="s">
        <v>222</v>
      </c>
      <c r="D119" s="46" t="e">
        <f>#NAME?</f>
        <v>#NAME?</v>
      </c>
    </row>
    <row r="120" spans="1:4" x14ac:dyDescent="0.3">
      <c r="A120" s="48">
        <v>358205080890224</v>
      </c>
      <c r="B120" s="49">
        <v>45337.548831018517</v>
      </c>
      <c r="C120" s="46" t="s">
        <v>223</v>
      </c>
      <c r="D120" s="46" t="e">
        <f>#NAME?</f>
        <v>#NAME?</v>
      </c>
    </row>
    <row r="121" spans="1:4" x14ac:dyDescent="0.3">
      <c r="A121" s="48">
        <v>358205080890240</v>
      </c>
      <c r="B121" s="49">
        <v>45338.5000462963</v>
      </c>
      <c r="C121" s="46" t="s">
        <v>223</v>
      </c>
      <c r="D121" s="46" t="e">
        <f>#NAME?</f>
        <v>#NAME?</v>
      </c>
    </row>
    <row r="122" spans="1:4" x14ac:dyDescent="0.3">
      <c r="A122" s="48">
        <v>358205080890257</v>
      </c>
      <c r="B122" s="49">
        <v>45336.579965277779</v>
      </c>
      <c r="C122" s="46" t="s">
        <v>223</v>
      </c>
      <c r="D122" s="46" t="e">
        <f>#NAME?</f>
        <v>#NAME?</v>
      </c>
    </row>
    <row r="123" spans="1:4" x14ac:dyDescent="0.3">
      <c r="A123" s="48">
        <v>358205080890299</v>
      </c>
      <c r="B123" s="49">
        <v>45338.500115740739</v>
      </c>
      <c r="C123" s="46" t="s">
        <v>222</v>
      </c>
      <c r="D123" s="46" t="e">
        <f>#NAME?</f>
        <v>#NAME?</v>
      </c>
    </row>
    <row r="124" spans="1:4" x14ac:dyDescent="0.3">
      <c r="A124" s="48">
        <v>358205080890307</v>
      </c>
      <c r="B124" s="49">
        <v>45338.500081018516</v>
      </c>
      <c r="C124" s="46" t="s">
        <v>222</v>
      </c>
      <c r="D124" s="46" t="e">
        <f>#NAME?</f>
        <v>#NAME?</v>
      </c>
    </row>
    <row r="125" spans="1:4" x14ac:dyDescent="0.3">
      <c r="A125" s="48">
        <v>358205080890406</v>
      </c>
      <c r="B125" s="49">
        <v>45336.414027777777</v>
      </c>
      <c r="C125" s="46" t="s">
        <v>223</v>
      </c>
      <c r="D125" s="46" t="e">
        <f>#NAME?</f>
        <v>#NAME?</v>
      </c>
    </row>
    <row r="126" spans="1:4" x14ac:dyDescent="0.3">
      <c r="A126" s="48">
        <v>358205080890414</v>
      </c>
      <c r="B126" s="49">
        <v>45338.500196759262</v>
      </c>
      <c r="C126" s="46" t="s">
        <v>89</v>
      </c>
      <c r="D126" s="46" t="e">
        <f>#NAME?</f>
        <v>#NAME?</v>
      </c>
    </row>
    <row r="127" spans="1:4" x14ac:dyDescent="0.3">
      <c r="A127" s="48">
        <v>358205080890497</v>
      </c>
      <c r="B127" s="49">
        <v>45338.40457175926</v>
      </c>
      <c r="C127" s="46" t="s">
        <v>222</v>
      </c>
      <c r="D127" s="46" t="e">
        <f>#NAME?</f>
        <v>#NAME?</v>
      </c>
    </row>
    <row r="128" spans="1:4" x14ac:dyDescent="0.3">
      <c r="A128" s="48">
        <v>358205080890521</v>
      </c>
      <c r="B128" s="49">
        <v>45338.499722222223</v>
      </c>
      <c r="C128" s="46" t="s">
        <v>223</v>
      </c>
      <c r="D128" s="46" t="e">
        <f>#NAME?</f>
        <v>#NAME?</v>
      </c>
    </row>
    <row r="129" spans="1:4" x14ac:dyDescent="0.3">
      <c r="A129" s="48">
        <v>358205080890570</v>
      </c>
      <c r="B129" s="49">
        <v>45338.499745370369</v>
      </c>
      <c r="C129" s="46" t="s">
        <v>43</v>
      </c>
      <c r="D129" s="46" t="e">
        <f>#NAME?</f>
        <v>#NAME?</v>
      </c>
    </row>
    <row r="130" spans="1:4" x14ac:dyDescent="0.3">
      <c r="A130" s="48">
        <v>358205080890596</v>
      </c>
      <c r="B130" s="49">
        <v>45338.2112037037</v>
      </c>
      <c r="C130" s="46" t="s">
        <v>222</v>
      </c>
      <c r="D130" s="46" t="e">
        <f>#NAME?</f>
        <v>#NAME?</v>
      </c>
    </row>
    <row r="131" spans="1:4" x14ac:dyDescent="0.3">
      <c r="A131" s="48">
        <v>358205080890695</v>
      </c>
      <c r="B131" s="49">
        <v>45337.536111111112</v>
      </c>
      <c r="C131" s="46" t="s">
        <v>149</v>
      </c>
      <c r="D131" s="46" t="e">
        <f>#NAME?</f>
        <v>#NAME?</v>
      </c>
    </row>
    <row r="132" spans="1:4" x14ac:dyDescent="0.3">
      <c r="A132" s="48">
        <v>358205080890729</v>
      </c>
      <c r="B132" s="49">
        <v>45338.500300925924</v>
      </c>
      <c r="C132" s="46" t="s">
        <v>193</v>
      </c>
      <c r="D132" s="46" t="e">
        <f>#NAME?</f>
        <v>#NAME?</v>
      </c>
    </row>
    <row r="133" spans="1:4" x14ac:dyDescent="0.3">
      <c r="A133" s="48">
        <v>358205080890745</v>
      </c>
      <c r="B133" s="49">
        <v>45338.500092592592</v>
      </c>
      <c r="C133" s="46" t="s">
        <v>223</v>
      </c>
      <c r="D133" s="46" t="e">
        <f>#NAME?</f>
        <v>#NAME?</v>
      </c>
    </row>
    <row r="134" spans="1:4" x14ac:dyDescent="0.3">
      <c r="A134" s="48">
        <v>358205080890778</v>
      </c>
      <c r="B134" s="49">
        <v>45337.311874999999</v>
      </c>
      <c r="C134" s="46" t="s">
        <v>223</v>
      </c>
      <c r="D134" s="46" t="e">
        <f>#NAME?</f>
        <v>#NAME?</v>
      </c>
    </row>
    <row r="135" spans="1:4" x14ac:dyDescent="0.3">
      <c r="A135" s="48">
        <v>358205080890802</v>
      </c>
      <c r="B135" s="49">
        <v>45338.364062499997</v>
      </c>
      <c r="C135" s="46" t="s">
        <v>223</v>
      </c>
      <c r="D135" s="46" t="e">
        <f>#NAME?</f>
        <v>#NAME?</v>
      </c>
    </row>
    <row r="136" spans="1:4" x14ac:dyDescent="0.3">
      <c r="A136" s="48">
        <v>358205080890828</v>
      </c>
      <c r="B136" s="49">
        <v>45337.566377314812</v>
      </c>
      <c r="C136" s="46" t="s">
        <v>223</v>
      </c>
      <c r="D136" s="46" t="e">
        <f>#NAME?</f>
        <v>#NAME?</v>
      </c>
    </row>
    <row r="137" spans="1:4" x14ac:dyDescent="0.3">
      <c r="A137" s="48">
        <v>358205080890851</v>
      </c>
      <c r="B137" s="49">
        <v>45338.500243055554</v>
      </c>
      <c r="C137" s="46" t="s">
        <v>223</v>
      </c>
      <c r="D137" s="46" t="e">
        <f>#NAME?</f>
        <v>#NAME?</v>
      </c>
    </row>
    <row r="138" spans="1:4" x14ac:dyDescent="0.3">
      <c r="A138" s="48">
        <v>358205080890893</v>
      </c>
      <c r="B138" s="49">
        <v>45338.5002662037</v>
      </c>
      <c r="C138" s="46" t="s">
        <v>222</v>
      </c>
      <c r="D138" s="46" t="e">
        <f>#NAME?</f>
        <v>#NAME?</v>
      </c>
    </row>
    <row r="139" spans="1:4" x14ac:dyDescent="0.3">
      <c r="A139" s="48">
        <v>358205080890943</v>
      </c>
      <c r="B139" s="49">
        <v>45338.499768518515</v>
      </c>
      <c r="C139" s="46" t="s">
        <v>149</v>
      </c>
      <c r="D139" s="46" t="e">
        <f>#NAME?</f>
        <v>#NAME?</v>
      </c>
    </row>
    <row r="140" spans="1:4" x14ac:dyDescent="0.3">
      <c r="A140" s="48">
        <v>358205080890950</v>
      </c>
      <c r="B140" s="49">
        <v>45338.500208333331</v>
      </c>
      <c r="C140" s="46" t="s">
        <v>149</v>
      </c>
      <c r="D140" s="46" t="e">
        <f>#NAME?</f>
        <v>#NAME?</v>
      </c>
    </row>
    <row r="141" spans="1:4" x14ac:dyDescent="0.3">
      <c r="A141" s="48">
        <v>358205080890968</v>
      </c>
      <c r="B141" s="49">
        <v>45338.499930555554</v>
      </c>
      <c r="C141" s="46" t="s">
        <v>223</v>
      </c>
      <c r="D141" s="46" t="e">
        <f>#NAME?</f>
        <v>#NAME?</v>
      </c>
    </row>
    <row r="142" spans="1:4" x14ac:dyDescent="0.3">
      <c r="A142" s="48">
        <v>358205080890992</v>
      </c>
      <c r="B142" s="49">
        <v>45337.562662037039</v>
      </c>
      <c r="C142" s="46" t="s">
        <v>223</v>
      </c>
      <c r="D142" s="46" t="e">
        <f>#NAME?</f>
        <v>#NAME?</v>
      </c>
    </row>
    <row r="143" spans="1:4" x14ac:dyDescent="0.3">
      <c r="A143" s="48">
        <v>358205080891008</v>
      </c>
      <c r="B143" s="49">
        <v>45337.361446759256</v>
      </c>
      <c r="C143" s="46" t="s">
        <v>223</v>
      </c>
      <c r="D143" s="46" t="e">
        <f>#NAME?</f>
        <v>#NAME?</v>
      </c>
    </row>
    <row r="144" spans="1:4" x14ac:dyDescent="0.3">
      <c r="A144" s="48">
        <v>358205080891024</v>
      </c>
      <c r="B144" s="49">
        <v>45338.500150462962</v>
      </c>
      <c r="C144" s="46" t="s">
        <v>223</v>
      </c>
      <c r="D144" s="46" t="e">
        <f>#NAME?</f>
        <v>#NAME?</v>
      </c>
    </row>
    <row r="145" spans="1:4" x14ac:dyDescent="0.3">
      <c r="A145" s="48">
        <v>358205080891057</v>
      </c>
      <c r="B145" s="49">
        <v>45338.499675925923</v>
      </c>
      <c r="C145" s="46" t="s">
        <v>223</v>
      </c>
      <c r="D145" s="46" t="e">
        <f>#NAME?</f>
        <v>#NAME?</v>
      </c>
    </row>
    <row r="146" spans="1:4" x14ac:dyDescent="0.3">
      <c r="A146" s="48">
        <v>358205080891065</v>
      </c>
      <c r="B146" s="49">
        <v>45338.499965277777</v>
      </c>
      <c r="C146" s="46" t="s">
        <v>222</v>
      </c>
      <c r="D146" s="46" t="e">
        <f>#NAME?</f>
        <v>#NAME?</v>
      </c>
    </row>
    <row r="147" spans="1:4" x14ac:dyDescent="0.3">
      <c r="A147" s="48">
        <v>358205080891073</v>
      </c>
      <c r="B147" s="49">
        <v>45336.548425925925</v>
      </c>
      <c r="C147" s="46" t="s">
        <v>223</v>
      </c>
      <c r="D147" s="46" t="e">
        <f>#NAME?</f>
        <v>#NAME?</v>
      </c>
    </row>
    <row r="148" spans="1:4" x14ac:dyDescent="0.3">
      <c r="A148" s="48">
        <v>358205080891081</v>
      </c>
      <c r="B148" s="49">
        <v>45338.500243055554</v>
      </c>
      <c r="C148" s="46" t="s">
        <v>223</v>
      </c>
      <c r="D148" s="46" t="e">
        <f>#NAME?</f>
        <v>#NAME?</v>
      </c>
    </row>
    <row r="149" spans="1:4" x14ac:dyDescent="0.3">
      <c r="A149" s="48">
        <v>358205080891107</v>
      </c>
      <c r="B149" s="49">
        <v>45338.499849537038</v>
      </c>
      <c r="C149" s="46" t="s">
        <v>222</v>
      </c>
      <c r="D149" s="46" t="e">
        <f>#NAME?</f>
        <v>#NAME?</v>
      </c>
    </row>
    <row r="150" spans="1:4" x14ac:dyDescent="0.3">
      <c r="A150" s="48">
        <v>358205080891115</v>
      </c>
      <c r="B150" s="49">
        <v>45336.236006944448</v>
      </c>
      <c r="C150" s="46" t="s">
        <v>223</v>
      </c>
      <c r="D150" s="46" t="e">
        <f>#NAME?</f>
        <v>#NAME?</v>
      </c>
    </row>
    <row r="151" spans="1:4" x14ac:dyDescent="0.3">
      <c r="A151" s="48">
        <v>358205080891131</v>
      </c>
      <c r="B151" s="49">
        <v>45338.500173611108</v>
      </c>
      <c r="C151" s="46" t="s">
        <v>223</v>
      </c>
      <c r="D151" s="46" t="e">
        <f>#NAME?</f>
        <v>#NAME?</v>
      </c>
    </row>
    <row r="152" spans="1:4" x14ac:dyDescent="0.3">
      <c r="A152" s="48">
        <v>358205080891198</v>
      </c>
      <c r="B152" s="49">
        <v>45338.280636574076</v>
      </c>
      <c r="C152" s="46" t="s">
        <v>149</v>
      </c>
      <c r="D152" s="46" t="e">
        <f>#NAME?</f>
        <v>#NAME?</v>
      </c>
    </row>
    <row r="153" spans="1:4" x14ac:dyDescent="0.3">
      <c r="A153" s="48">
        <v>358205080891206</v>
      </c>
      <c r="B153" s="49">
        <v>45338.500243055554</v>
      </c>
      <c r="C153" s="46" t="s">
        <v>149</v>
      </c>
      <c r="D153" s="46" t="e">
        <f>#NAME?</f>
        <v>#NAME?</v>
      </c>
    </row>
    <row r="154" spans="1:4" x14ac:dyDescent="0.3">
      <c r="A154" s="48">
        <v>358205080891222</v>
      </c>
      <c r="B154" s="49">
        <v>45338.499618055554</v>
      </c>
      <c r="C154" s="46" t="s">
        <v>222</v>
      </c>
      <c r="D154" s="46" t="e">
        <f>#NAME?</f>
        <v>#NAME?</v>
      </c>
    </row>
    <row r="155" spans="1:4" x14ac:dyDescent="0.3">
      <c r="A155" s="48">
        <v>358205080891230</v>
      </c>
      <c r="B155" s="49">
        <v>45338.500208333331</v>
      </c>
      <c r="C155" s="46" t="s">
        <v>149</v>
      </c>
      <c r="D155" s="46" t="e">
        <f>#NAME?</f>
        <v>#NAME?</v>
      </c>
    </row>
    <row r="156" spans="1:4" x14ac:dyDescent="0.3">
      <c r="A156" s="48">
        <v>358205080891255</v>
      </c>
      <c r="B156" s="49">
        <v>45338.500173611108</v>
      </c>
      <c r="C156" s="46" t="s">
        <v>149</v>
      </c>
      <c r="D156" s="46" t="e">
        <f>#NAME?</f>
        <v>#NAME?</v>
      </c>
    </row>
    <row r="157" spans="1:4" x14ac:dyDescent="0.3">
      <c r="A157" s="48">
        <v>358205080897500</v>
      </c>
      <c r="B157" s="49">
        <v>45338.500219907408</v>
      </c>
      <c r="C157" s="46" t="s">
        <v>149</v>
      </c>
      <c r="D157" s="46" t="e">
        <f>#NAME?</f>
        <v>#NAME?</v>
      </c>
    </row>
    <row r="158" spans="1:4" x14ac:dyDescent="0.3">
      <c r="A158" s="48">
        <v>358205080897518</v>
      </c>
      <c r="B158" s="49">
        <v>45338.500023148146</v>
      </c>
      <c r="C158" s="46" t="s">
        <v>89</v>
      </c>
      <c r="D158" s="46" t="e">
        <f>#NAME?</f>
        <v>#NAME?</v>
      </c>
    </row>
    <row r="159" spans="1:4" x14ac:dyDescent="0.3">
      <c r="A159" s="48">
        <v>358205080897716</v>
      </c>
      <c r="B159" s="49">
        <v>45338.491307870368</v>
      </c>
      <c r="C159" s="46" t="s">
        <v>223</v>
      </c>
      <c r="D159" s="46" t="e">
        <f>#NAME?</f>
        <v>#NAME?</v>
      </c>
    </row>
    <row r="160" spans="1:4" x14ac:dyDescent="0.3">
      <c r="A160" s="48">
        <v>358205080897971</v>
      </c>
      <c r="B160" s="49">
        <v>45338.500104166669</v>
      </c>
      <c r="C160" s="46" t="s">
        <v>222</v>
      </c>
      <c r="D160" s="46" t="e">
        <f>#NAME?</f>
        <v>#NAME?</v>
      </c>
    </row>
    <row r="161" spans="1:4" x14ac:dyDescent="0.3">
      <c r="A161" s="48">
        <v>358205080898029</v>
      </c>
      <c r="B161" s="49">
        <v>45338.444467592592</v>
      </c>
      <c r="C161" s="46" t="s">
        <v>149</v>
      </c>
      <c r="D161" s="46" t="e">
        <f>#NAME?</f>
        <v>#NAME?</v>
      </c>
    </row>
    <row r="162" spans="1:4" x14ac:dyDescent="0.3">
      <c r="A162" s="48">
        <v>358205080898052</v>
      </c>
      <c r="B162" s="49">
        <v>45338.249340277776</v>
      </c>
      <c r="C162" s="46" t="s">
        <v>223</v>
      </c>
      <c r="D162" s="46" t="e">
        <f>#NAME?</f>
        <v>#NAME?</v>
      </c>
    </row>
    <row r="163" spans="1:4" x14ac:dyDescent="0.3">
      <c r="A163" s="48">
        <v>358205080898128</v>
      </c>
      <c r="B163" s="49">
        <v>45338.500185185185</v>
      </c>
      <c r="C163" s="46" t="s">
        <v>223</v>
      </c>
      <c r="D163" s="46" t="e">
        <f>#NAME?</f>
        <v>#NAME?</v>
      </c>
    </row>
    <row r="164" spans="1:4" x14ac:dyDescent="0.3">
      <c r="A164" s="48">
        <v>358205080898177</v>
      </c>
      <c r="B164" s="49">
        <v>45338.499652777777</v>
      </c>
      <c r="C164" s="46" t="s">
        <v>223</v>
      </c>
      <c r="D164" s="46" t="e">
        <f>#NAME?</f>
        <v>#NAME?</v>
      </c>
    </row>
    <row r="165" spans="1:4" x14ac:dyDescent="0.3">
      <c r="A165" s="48">
        <v>358205080898185</v>
      </c>
      <c r="B165" s="49">
        <v>45338.499837962961</v>
      </c>
      <c r="C165" s="46" t="s">
        <v>223</v>
      </c>
      <c r="D165" s="46" t="e">
        <f>#NAME?</f>
        <v>#NAME?</v>
      </c>
    </row>
    <row r="166" spans="1:4" x14ac:dyDescent="0.3">
      <c r="A166" s="48">
        <v>358205080898250</v>
      </c>
      <c r="B166" s="49">
        <v>45338.402743055558</v>
      </c>
      <c r="C166" s="46" t="s">
        <v>149</v>
      </c>
      <c r="D166" s="46" t="e">
        <f>#NAME?</f>
        <v>#NAME?</v>
      </c>
    </row>
    <row r="167" spans="1:4" x14ac:dyDescent="0.3">
      <c r="A167" s="48">
        <v>358205080898284</v>
      </c>
      <c r="B167" s="49">
        <v>45338.500057870369</v>
      </c>
      <c r="C167" s="46" t="s">
        <v>125</v>
      </c>
      <c r="D167" s="46" t="e">
        <f>#NAME?</f>
        <v>#NAME?</v>
      </c>
    </row>
    <row r="168" spans="1:4" x14ac:dyDescent="0.3">
      <c r="A168" s="48">
        <v>358205080898318</v>
      </c>
      <c r="B168" s="49">
        <v>45336.309837962966</v>
      </c>
      <c r="C168" s="46" t="s">
        <v>223</v>
      </c>
      <c r="D168" s="46" t="e">
        <f>#NAME?</f>
        <v>#NAME?</v>
      </c>
    </row>
    <row r="169" spans="1:4" x14ac:dyDescent="0.3">
      <c r="A169" s="48">
        <v>358205080898342</v>
      </c>
      <c r="B169" s="49">
        <v>45338.4996875</v>
      </c>
      <c r="C169" s="46" t="s">
        <v>125</v>
      </c>
      <c r="D169" s="46" t="e">
        <f>#NAME?</f>
        <v>#NAME?</v>
      </c>
    </row>
    <row r="170" spans="1:4" x14ac:dyDescent="0.3">
      <c r="A170" s="48">
        <v>358205080898375</v>
      </c>
      <c r="B170" s="49">
        <v>45338.371331018519</v>
      </c>
      <c r="C170" s="46" t="s">
        <v>222</v>
      </c>
      <c r="D170" s="46" t="e">
        <f>#NAME?</f>
        <v>#NAME?</v>
      </c>
    </row>
    <row r="171" spans="1:4" x14ac:dyDescent="0.3">
      <c r="A171" s="48">
        <v>358205080898441</v>
      </c>
      <c r="B171" s="49">
        <v>45338.254259259258</v>
      </c>
      <c r="C171" s="46" t="s">
        <v>89</v>
      </c>
      <c r="D171" s="46" t="e">
        <f>#NAME?</f>
        <v>#NAME?</v>
      </c>
    </row>
    <row r="172" spans="1:4" x14ac:dyDescent="0.3">
      <c r="A172" s="48">
        <v>358205080898490</v>
      </c>
      <c r="B172" s="49">
        <v>45338.323912037034</v>
      </c>
      <c r="C172" s="46" t="s">
        <v>149</v>
      </c>
      <c r="D172" s="46" t="e">
        <f>#NAME?</f>
        <v>#NAME?</v>
      </c>
    </row>
    <row r="173" spans="1:4" x14ac:dyDescent="0.3">
      <c r="A173" s="48">
        <v>358205080898565</v>
      </c>
      <c r="B173" s="49">
        <v>45338.499907407408</v>
      </c>
      <c r="C173" s="46" t="s">
        <v>222</v>
      </c>
      <c r="D173" s="46" t="e">
        <f>#NAME?</f>
        <v>#NAME?</v>
      </c>
    </row>
    <row r="174" spans="1:4" x14ac:dyDescent="0.3">
      <c r="A174" s="48">
        <v>358205080898599</v>
      </c>
      <c r="B174" s="49">
        <v>45338.403067129628</v>
      </c>
      <c r="C174" s="46" t="s">
        <v>149</v>
      </c>
      <c r="D174" s="46" t="e">
        <f>#NAME?</f>
        <v>#NAME?</v>
      </c>
    </row>
    <row r="175" spans="1:4" x14ac:dyDescent="0.3">
      <c r="A175" s="48">
        <v>358205080898656</v>
      </c>
      <c r="B175" s="49">
        <v>45338.499907407408</v>
      </c>
      <c r="C175" s="46" t="s">
        <v>222</v>
      </c>
      <c r="D175" s="46" t="e">
        <f>#NAME?</f>
        <v>#NAME?</v>
      </c>
    </row>
    <row r="176" spans="1:4" x14ac:dyDescent="0.3">
      <c r="A176" s="48">
        <v>358205080898789</v>
      </c>
      <c r="B176" s="49">
        <v>45338.49417824074</v>
      </c>
      <c r="C176" s="46" t="s">
        <v>89</v>
      </c>
      <c r="D176" s="46" t="e">
        <f>#NAME?</f>
        <v>#NAME?</v>
      </c>
    </row>
    <row r="177" spans="1:4" x14ac:dyDescent="0.3">
      <c r="A177" s="48">
        <v>358205080898805</v>
      </c>
      <c r="B177" s="49">
        <v>45338.5000462963</v>
      </c>
      <c r="C177" s="46" t="s">
        <v>89</v>
      </c>
      <c r="D177" s="46" t="e">
        <f>#NAME?</f>
        <v>#NAME?</v>
      </c>
    </row>
    <row r="178" spans="1:4" x14ac:dyDescent="0.3">
      <c r="A178" s="48">
        <v>358205080898813</v>
      </c>
      <c r="B178" s="49">
        <v>45338.499618055554</v>
      </c>
      <c r="C178" s="46" t="s">
        <v>193</v>
      </c>
      <c r="D178" s="46" t="e">
        <f>#NAME?</f>
        <v>#NAME?</v>
      </c>
    </row>
    <row r="179" spans="1:4" x14ac:dyDescent="0.3">
      <c r="A179" s="48">
        <v>358205080898821</v>
      </c>
      <c r="B179" s="49">
        <v>45338.500023148146</v>
      </c>
      <c r="C179" s="46" t="s">
        <v>193</v>
      </c>
      <c r="D179" s="46" t="e">
        <f>#NAME?</f>
        <v>#NAME?</v>
      </c>
    </row>
    <row r="180" spans="1:4" x14ac:dyDescent="0.3">
      <c r="A180" s="48">
        <v>358205080898862</v>
      </c>
      <c r="B180" s="49">
        <v>45338.499861111108</v>
      </c>
      <c r="C180" s="46" t="s">
        <v>149</v>
      </c>
      <c r="D180" s="46" t="e">
        <f>#NAME?</f>
        <v>#NAME?</v>
      </c>
    </row>
    <row r="181" spans="1:4" x14ac:dyDescent="0.3">
      <c r="A181" s="48">
        <v>358205080898912</v>
      </c>
      <c r="B181" s="49">
        <v>45338.500115740739</v>
      </c>
      <c r="C181" s="46" t="s">
        <v>149</v>
      </c>
      <c r="D181" s="46" t="e">
        <f>#NAME?</f>
        <v>#NAME?</v>
      </c>
    </row>
    <row r="182" spans="1:4" x14ac:dyDescent="0.3">
      <c r="A182" s="48">
        <v>358205080898920</v>
      </c>
      <c r="B182" s="49">
        <v>45335.730405092596</v>
      </c>
      <c r="C182" s="46" t="s">
        <v>149</v>
      </c>
      <c r="D182" s="46" t="e">
        <f>#NAME?</f>
        <v>#NAME?</v>
      </c>
    </row>
    <row r="183" spans="1:4" x14ac:dyDescent="0.3">
      <c r="A183" s="48">
        <v>358205080898987</v>
      </c>
      <c r="B183" s="49">
        <v>45338.500127314815</v>
      </c>
      <c r="C183" s="46" t="s">
        <v>223</v>
      </c>
      <c r="D183" s="46" t="e">
        <f>#NAME?</f>
        <v>#NAME?</v>
      </c>
    </row>
    <row r="184" spans="1:4" x14ac:dyDescent="0.3">
      <c r="A184" s="48">
        <v>358205080898995</v>
      </c>
      <c r="B184" s="49">
        <v>45338.499803240738</v>
      </c>
      <c r="C184" s="46" t="s">
        <v>223</v>
      </c>
      <c r="D184" s="46" t="e">
        <f>#NAME?</f>
        <v>#NAME?</v>
      </c>
    </row>
    <row r="185" spans="1:4" x14ac:dyDescent="0.3">
      <c r="A185" s="48">
        <v>358205080899027</v>
      </c>
      <c r="B185" s="49">
        <v>45338.500208333331</v>
      </c>
      <c r="C185" s="46" t="s">
        <v>223</v>
      </c>
      <c r="D185" s="46" t="e">
        <f>#NAME?</f>
        <v>#NAME?</v>
      </c>
    </row>
    <row r="186" spans="1:4" x14ac:dyDescent="0.3">
      <c r="A186" s="48">
        <v>358205080899035</v>
      </c>
      <c r="B186" s="49">
        <v>45338.500300925924</v>
      </c>
      <c r="C186" s="46" t="s">
        <v>222</v>
      </c>
      <c r="D186" s="46" t="e">
        <f>#NAME?</f>
        <v>#NAME?</v>
      </c>
    </row>
    <row r="187" spans="1:4" x14ac:dyDescent="0.3">
      <c r="A187" s="48">
        <v>358205080899050</v>
      </c>
      <c r="B187" s="49">
        <v>45338.500196759262</v>
      </c>
      <c r="C187" s="46" t="s">
        <v>222</v>
      </c>
      <c r="D187" s="46" t="e">
        <f>#NAME?</f>
        <v>#NAME?</v>
      </c>
    </row>
    <row r="188" spans="1:4" x14ac:dyDescent="0.3">
      <c r="A188" s="48">
        <v>358205080899068</v>
      </c>
      <c r="B188" s="49">
        <v>45338.500057870369</v>
      </c>
      <c r="C188" s="46" t="s">
        <v>223</v>
      </c>
      <c r="D188" s="46" t="e">
        <f>#NAME?</f>
        <v>#NAME?</v>
      </c>
    </row>
    <row r="189" spans="1:4" x14ac:dyDescent="0.3">
      <c r="A189" s="48">
        <v>358205080899126</v>
      </c>
      <c r="B189" s="49">
        <v>45337.499756944446</v>
      </c>
      <c r="C189" s="46" t="s">
        <v>223</v>
      </c>
      <c r="D189" s="46" t="e">
        <f>#NAME?</f>
        <v>#NAME?</v>
      </c>
    </row>
    <row r="190" spans="1:4" x14ac:dyDescent="0.3">
      <c r="A190" s="48">
        <v>358205080899142</v>
      </c>
      <c r="B190" s="49">
        <v>45337.171365740738</v>
      </c>
      <c r="C190" s="46" t="s">
        <v>193</v>
      </c>
      <c r="D190" s="46" t="e">
        <f>#NAME?</f>
        <v>#NAME?</v>
      </c>
    </row>
    <row r="191" spans="1:4" x14ac:dyDescent="0.3">
      <c r="A191" s="48">
        <v>358205080899167</v>
      </c>
      <c r="B191" s="49">
        <v>45337.582939814813</v>
      </c>
      <c r="C191" s="46" t="s">
        <v>223</v>
      </c>
      <c r="D191" s="46" t="e">
        <f>#NAME?</f>
        <v>#NAME?</v>
      </c>
    </row>
    <row r="192" spans="1:4" x14ac:dyDescent="0.3">
      <c r="A192" s="48">
        <v>358205080899175</v>
      </c>
      <c r="B192" s="49">
        <v>45338.499710648146</v>
      </c>
      <c r="C192" s="46" t="s">
        <v>193</v>
      </c>
      <c r="D192" s="46" t="e">
        <f>#NAME?</f>
        <v>#NAME?</v>
      </c>
    </row>
    <row r="193" spans="1:4" x14ac:dyDescent="0.3">
      <c r="A193" s="48">
        <v>358205080899191</v>
      </c>
      <c r="B193" s="49">
        <v>45338.5</v>
      </c>
      <c r="C193" s="46" t="s">
        <v>223</v>
      </c>
      <c r="D193" s="46" t="e">
        <f>#NAME?</f>
        <v>#NAME?</v>
      </c>
    </row>
    <row r="194" spans="1:4" x14ac:dyDescent="0.3">
      <c r="A194" s="48">
        <v>358205080899209</v>
      </c>
      <c r="B194" s="49">
        <v>45338.4996875</v>
      </c>
      <c r="C194" s="46" t="s">
        <v>223</v>
      </c>
      <c r="D194" s="46" t="e">
        <f>#NAME?</f>
        <v>#NAME?</v>
      </c>
    </row>
    <row r="195" spans="1:4" x14ac:dyDescent="0.3">
      <c r="A195" s="48">
        <v>358205080899217</v>
      </c>
      <c r="B195" s="49">
        <v>45337.586087962962</v>
      </c>
      <c r="C195" s="46" t="s">
        <v>223</v>
      </c>
      <c r="D195" s="46" t="e">
        <f>#NAME?</f>
        <v>#NAME?</v>
      </c>
    </row>
    <row r="196" spans="1:4" x14ac:dyDescent="0.3">
      <c r="A196" s="48">
        <v>358205080899258</v>
      </c>
      <c r="B196" s="49">
        <v>45338.500231481485</v>
      </c>
      <c r="C196" s="46" t="s">
        <v>223</v>
      </c>
      <c r="D196" s="46" t="e">
        <f>#NAME?</f>
        <v>#NAME?</v>
      </c>
    </row>
    <row r="197" spans="1:4" x14ac:dyDescent="0.3">
      <c r="A197" s="48">
        <v>358205080899290</v>
      </c>
      <c r="B197" s="49">
        <v>45337.474918981483</v>
      </c>
      <c r="C197" s="46" t="s">
        <v>222</v>
      </c>
      <c r="D197" s="46" t="e">
        <f>#NAME?</f>
        <v>#NAME?</v>
      </c>
    </row>
    <row r="198" spans="1:4" x14ac:dyDescent="0.3">
      <c r="A198" s="48">
        <v>358205080899324</v>
      </c>
      <c r="B198" s="49">
        <v>45338.499988425923</v>
      </c>
      <c r="C198" s="46" t="s">
        <v>223</v>
      </c>
      <c r="D198" s="46" t="e">
        <f>#NAME?</f>
        <v>#NAME?</v>
      </c>
    </row>
    <row r="199" spans="1:4" x14ac:dyDescent="0.3">
      <c r="A199" s="48">
        <v>358205080899340</v>
      </c>
      <c r="B199" s="49">
        <v>45337.36209490741</v>
      </c>
      <c r="C199" s="46" t="s">
        <v>223</v>
      </c>
      <c r="D199" s="46" t="e">
        <f>#NAME?</f>
        <v>#NAME?</v>
      </c>
    </row>
    <row r="200" spans="1:4" x14ac:dyDescent="0.3">
      <c r="A200" s="48">
        <v>358205080899357</v>
      </c>
      <c r="B200" s="49">
        <v>45338.499988425923</v>
      </c>
      <c r="C200" s="46" t="s">
        <v>222</v>
      </c>
      <c r="D200" s="46" t="e">
        <f>#NAME?</f>
        <v>#NAME?</v>
      </c>
    </row>
    <row r="201" spans="1:4" x14ac:dyDescent="0.3">
      <c r="A201" s="48">
        <v>358205080899464</v>
      </c>
      <c r="B201" s="49">
        <v>45338.4999537037</v>
      </c>
      <c r="C201" s="46" t="s">
        <v>193</v>
      </c>
      <c r="D201" s="46" t="e">
        <f>#NAME?</f>
        <v>#NAME?</v>
      </c>
    </row>
    <row r="202" spans="1:4" x14ac:dyDescent="0.3">
      <c r="A202" s="48">
        <v>358205080899498</v>
      </c>
      <c r="B202" s="49">
        <v>45337.419930555552</v>
      </c>
      <c r="C202" s="46" t="s">
        <v>223</v>
      </c>
      <c r="D202" s="46" t="e">
        <f>#NAME?</f>
        <v>#NAME?</v>
      </c>
    </row>
    <row r="203" spans="1:4" x14ac:dyDescent="0.3">
      <c r="A203" s="48">
        <v>358205080899589</v>
      </c>
      <c r="B203" s="49">
        <v>45336.714120370372</v>
      </c>
      <c r="C203" s="46" t="s">
        <v>193</v>
      </c>
      <c r="D203" s="46" t="e">
        <f>#NAME?</f>
        <v>#NAME?</v>
      </c>
    </row>
    <row r="204" spans="1:4" x14ac:dyDescent="0.3">
      <c r="A204" s="48">
        <v>358205080899696</v>
      </c>
      <c r="B204" s="49">
        <v>45337.851238425923</v>
      </c>
      <c r="C204" s="46" t="s">
        <v>193</v>
      </c>
      <c r="D204" s="46" t="e">
        <f>#NAME?</f>
        <v>#NAME?</v>
      </c>
    </row>
    <row r="205" spans="1:4" x14ac:dyDescent="0.3">
      <c r="A205" s="48">
        <v>358205080899720</v>
      </c>
      <c r="B205" s="49">
        <v>45338.499837962961</v>
      </c>
      <c r="C205" s="46" t="s">
        <v>193</v>
      </c>
      <c r="D205" s="46" t="e">
        <f>#NAME?</f>
        <v>#NAME?</v>
      </c>
    </row>
    <row r="206" spans="1:4" x14ac:dyDescent="0.3">
      <c r="A206" s="48">
        <v>358205080899902</v>
      </c>
      <c r="B206" s="49">
        <v>45338.499710648146</v>
      </c>
      <c r="C206" s="46" t="s">
        <v>222</v>
      </c>
      <c r="D206" s="46" t="e">
        <f>#NAME?</f>
        <v>#NAME?</v>
      </c>
    </row>
    <row r="207" spans="1:4" x14ac:dyDescent="0.3">
      <c r="A207" s="48">
        <v>358205080899910</v>
      </c>
      <c r="B207" s="49">
        <v>45338.5000462963</v>
      </c>
      <c r="C207" s="46" t="s">
        <v>222</v>
      </c>
      <c r="D207" s="46" t="e">
        <f>#NAME?</f>
        <v>#NAME?</v>
      </c>
    </row>
    <row r="208" spans="1:4" x14ac:dyDescent="0.3">
      <c r="A208" s="48">
        <v>358205080899928</v>
      </c>
      <c r="B208" s="49">
        <v>45338.499907407408</v>
      </c>
      <c r="C208" s="46" t="s">
        <v>149</v>
      </c>
      <c r="D208" s="46" t="e">
        <f>#NAME?</f>
        <v>#NAME?</v>
      </c>
    </row>
    <row r="209" spans="1:4" x14ac:dyDescent="0.3">
      <c r="A209" s="48">
        <v>358205080899985</v>
      </c>
      <c r="B209" s="49">
        <v>45338.500104166669</v>
      </c>
      <c r="C209" s="46" t="s">
        <v>222</v>
      </c>
      <c r="D209" s="46" t="e">
        <f>#NAME?</f>
        <v>#NAME?</v>
      </c>
    </row>
    <row r="210" spans="1:4" x14ac:dyDescent="0.3">
      <c r="A210" s="48">
        <v>358205080900056</v>
      </c>
      <c r="B210" s="49">
        <v>45338.500069444446</v>
      </c>
      <c r="C210" s="46" t="s">
        <v>89</v>
      </c>
      <c r="D210" s="46" t="e">
        <f>#NAME?</f>
        <v>#NAME?</v>
      </c>
    </row>
    <row r="211" spans="1:4" x14ac:dyDescent="0.3">
      <c r="A211" s="48">
        <v>358205080900064</v>
      </c>
      <c r="B211" s="49">
        <v>45338.499884259261</v>
      </c>
      <c r="C211" s="46" t="s">
        <v>193</v>
      </c>
      <c r="D211" s="46" t="e">
        <f>#NAME?</f>
        <v>#NAME?</v>
      </c>
    </row>
    <row r="212" spans="1:4" x14ac:dyDescent="0.3">
      <c r="A212" s="48">
        <v>358205080900130</v>
      </c>
      <c r="B212" s="49">
        <v>45338.4996875</v>
      </c>
      <c r="C212" s="46" t="s">
        <v>222</v>
      </c>
      <c r="D212" s="46" t="e">
        <f>#NAME?</f>
        <v>#NAME?</v>
      </c>
    </row>
    <row r="213" spans="1:4" x14ac:dyDescent="0.3">
      <c r="A213" s="48">
        <v>358205080900148</v>
      </c>
      <c r="B213" s="49">
        <v>45336.308842592596</v>
      </c>
      <c r="C213" s="46" t="s">
        <v>223</v>
      </c>
      <c r="D213" s="46" t="e">
        <f>#NAME?</f>
        <v>#NAME?</v>
      </c>
    </row>
    <row r="214" spans="1:4" x14ac:dyDescent="0.3">
      <c r="A214" s="48">
        <v>358205080902060</v>
      </c>
      <c r="B214" s="49">
        <v>45338.499756944446</v>
      </c>
      <c r="C214" s="46" t="s">
        <v>223</v>
      </c>
      <c r="D214" s="46" t="e">
        <f>#NAME?</f>
        <v>#NAME?</v>
      </c>
    </row>
    <row r="215" spans="1:4" x14ac:dyDescent="0.3">
      <c r="A215" s="48">
        <v>358205080902078</v>
      </c>
      <c r="B215" s="49">
        <v>45338.499756944446</v>
      </c>
      <c r="C215" s="46" t="s">
        <v>223</v>
      </c>
      <c r="D215" s="46" t="e">
        <f>#NAME?</f>
        <v>#NAME?</v>
      </c>
    </row>
    <row r="216" spans="1:4" x14ac:dyDescent="0.3">
      <c r="A216" s="48">
        <v>358205080902086</v>
      </c>
      <c r="B216" s="49">
        <v>45338.09642361111</v>
      </c>
      <c r="C216" s="46" t="s">
        <v>89</v>
      </c>
      <c r="D216" s="46" t="e">
        <f>#NAME?</f>
        <v>#NAME?</v>
      </c>
    </row>
    <row r="217" spans="1:4" x14ac:dyDescent="0.3">
      <c r="A217" s="48">
        <v>358205080902094</v>
      </c>
      <c r="B217" s="49">
        <v>45338.500150462962</v>
      </c>
      <c r="C217" s="46" t="s">
        <v>223</v>
      </c>
      <c r="D217" s="46" t="e">
        <f>#NAME?</f>
        <v>#NAME?</v>
      </c>
    </row>
    <row r="218" spans="1:4" x14ac:dyDescent="0.3">
      <c r="A218" s="48">
        <v>358205080902128</v>
      </c>
      <c r="B218" s="49">
        <v>45336.417256944442</v>
      </c>
      <c r="C218" s="46" t="s">
        <v>223</v>
      </c>
      <c r="D218" s="46" t="e">
        <f>#NAME?</f>
        <v>#NAME?</v>
      </c>
    </row>
    <row r="219" spans="1:4" x14ac:dyDescent="0.3">
      <c r="A219" s="48">
        <v>358205080902144</v>
      </c>
      <c r="B219" s="49">
        <v>45336.508611111109</v>
      </c>
      <c r="C219" s="46" t="s">
        <v>193</v>
      </c>
      <c r="D219" s="46" t="e">
        <f>#NAME?</f>
        <v>#NAME?</v>
      </c>
    </row>
    <row r="220" spans="1:4" x14ac:dyDescent="0.3">
      <c r="A220" s="48">
        <v>358205080902169</v>
      </c>
      <c r="B220" s="49">
        <v>45337.586087962962</v>
      </c>
      <c r="C220" s="46" t="s">
        <v>223</v>
      </c>
      <c r="D220" s="46" t="e">
        <f>#NAME?</f>
        <v>#NAME?</v>
      </c>
    </row>
    <row r="221" spans="1:4" x14ac:dyDescent="0.3">
      <c r="A221" s="48">
        <v>358205080902177</v>
      </c>
      <c r="B221" s="49">
        <v>45338.499918981484</v>
      </c>
      <c r="C221" s="46" t="s">
        <v>193</v>
      </c>
      <c r="D221" s="46" t="e">
        <f>#NAME?</f>
        <v>#NAME?</v>
      </c>
    </row>
    <row r="222" spans="1:4" x14ac:dyDescent="0.3">
      <c r="A222" s="48">
        <v>358205080902185</v>
      </c>
      <c r="B222" s="49">
        <v>45338.499675925923</v>
      </c>
      <c r="C222" s="46" t="s">
        <v>223</v>
      </c>
      <c r="D222" s="46" t="e">
        <f>#NAME?</f>
        <v>#NAME?</v>
      </c>
    </row>
    <row r="223" spans="1:4" x14ac:dyDescent="0.3">
      <c r="A223" s="48">
        <v>358205080902219</v>
      </c>
      <c r="B223" s="49">
        <v>45337.436388888891</v>
      </c>
      <c r="C223" s="46" t="s">
        <v>223</v>
      </c>
      <c r="D223" s="46" t="e">
        <f>#NAME?</f>
        <v>#NAME?</v>
      </c>
    </row>
    <row r="224" spans="1:4" x14ac:dyDescent="0.3">
      <c r="A224" s="48">
        <v>358205080902227</v>
      </c>
      <c r="B224" s="49">
        <v>45337.2425</v>
      </c>
      <c r="C224" s="46" t="s">
        <v>223</v>
      </c>
      <c r="D224" s="46" t="e">
        <f>#NAME?</f>
        <v>#NAME?</v>
      </c>
    </row>
    <row r="225" spans="1:4" x14ac:dyDescent="0.3">
      <c r="A225" s="48">
        <v>358205080902276</v>
      </c>
      <c r="B225" s="49">
        <v>45338.485902777778</v>
      </c>
      <c r="C225" s="46" t="s">
        <v>89</v>
      </c>
      <c r="D225" s="46" t="e">
        <f>#NAME?</f>
        <v>#NAME?</v>
      </c>
    </row>
    <row r="226" spans="1:4" x14ac:dyDescent="0.3">
      <c r="A226" s="48">
        <v>358205080902300</v>
      </c>
      <c r="B226" s="49">
        <v>45338.499814814815</v>
      </c>
      <c r="C226" s="46" t="s">
        <v>223</v>
      </c>
      <c r="D226" s="46" t="e">
        <f>#NAME?</f>
        <v>#NAME?</v>
      </c>
    </row>
    <row r="227" spans="1:4" x14ac:dyDescent="0.3">
      <c r="A227" s="48">
        <v>358205080902318</v>
      </c>
      <c r="B227" s="49">
        <v>45338.500208333331</v>
      </c>
      <c r="C227" s="46" t="s">
        <v>223</v>
      </c>
      <c r="D227" s="46" t="e">
        <f>#NAME?</f>
        <v>#NAME?</v>
      </c>
    </row>
    <row r="228" spans="1:4" x14ac:dyDescent="0.3">
      <c r="A228" s="48">
        <v>358205080902425</v>
      </c>
      <c r="B228" s="49">
        <v>45338.500254629631</v>
      </c>
      <c r="C228" s="46" t="s">
        <v>89</v>
      </c>
      <c r="D228" s="46" t="e">
        <f>#NAME?</f>
        <v>#NAME?</v>
      </c>
    </row>
    <row r="229" spans="1:4" x14ac:dyDescent="0.3">
      <c r="A229" s="48">
        <v>358205080902441</v>
      </c>
      <c r="B229" s="49">
        <v>45337.851469907408</v>
      </c>
      <c r="C229" s="46" t="s">
        <v>193</v>
      </c>
      <c r="D229" s="46" t="e">
        <f>#NAME?</f>
        <v>#NAME?</v>
      </c>
    </row>
    <row r="230" spans="1:4" x14ac:dyDescent="0.3">
      <c r="A230" s="48">
        <v>358205080902508</v>
      </c>
      <c r="B230" s="49">
        <v>45336.236215277779</v>
      </c>
      <c r="C230" s="46" t="s">
        <v>223</v>
      </c>
      <c r="D230" s="46" t="e">
        <f>#NAME?</f>
        <v>#NAME?</v>
      </c>
    </row>
    <row r="231" spans="1:4" x14ac:dyDescent="0.3">
      <c r="A231" s="48">
        <v>358205080902516</v>
      </c>
      <c r="B231" s="49">
        <v>45336.308819444443</v>
      </c>
      <c r="C231" s="46" t="s">
        <v>223</v>
      </c>
      <c r="D231" s="46" t="e">
        <f>#NAME?</f>
        <v>#NAME?</v>
      </c>
    </row>
    <row r="232" spans="1:4" x14ac:dyDescent="0.3">
      <c r="A232" s="48">
        <v>358205080902524</v>
      </c>
      <c r="B232" s="49">
        <v>45337.771504629629</v>
      </c>
      <c r="C232" s="46" t="s">
        <v>223</v>
      </c>
      <c r="D232" s="46" t="e">
        <f>#NAME?</f>
        <v>#NAME?</v>
      </c>
    </row>
    <row r="233" spans="1:4" x14ac:dyDescent="0.3">
      <c r="A233" s="48">
        <v>358205080902540</v>
      </c>
      <c r="B233" s="49">
        <v>45338.49726851852</v>
      </c>
      <c r="C233" s="46" t="s">
        <v>89</v>
      </c>
      <c r="D233" s="46" t="e">
        <f>#NAME?</f>
        <v>#NAME?</v>
      </c>
    </row>
    <row r="234" spans="1:4" x14ac:dyDescent="0.3">
      <c r="A234" s="48">
        <v>358205080902599</v>
      </c>
      <c r="B234" s="49">
        <v>45336.525879629633</v>
      </c>
      <c r="C234" s="46" t="s">
        <v>223</v>
      </c>
      <c r="D234" s="46" t="e">
        <f>#NAME?</f>
        <v>#NAME?</v>
      </c>
    </row>
    <row r="235" spans="1:4" x14ac:dyDescent="0.3">
      <c r="A235" s="48">
        <v>358205080902607</v>
      </c>
      <c r="B235" s="49">
        <v>45338.499710648146</v>
      </c>
      <c r="C235" s="46" t="s">
        <v>223</v>
      </c>
      <c r="D235" s="46" t="e">
        <f>#NAME?</f>
        <v>#NAME?</v>
      </c>
    </row>
    <row r="236" spans="1:4" x14ac:dyDescent="0.3">
      <c r="A236" s="48">
        <v>358205080902698</v>
      </c>
      <c r="B236" s="49">
        <v>45338.500254629631</v>
      </c>
      <c r="C236" s="46" t="s">
        <v>89</v>
      </c>
      <c r="D236" s="46" t="e">
        <f>#NAME?</f>
        <v>#NAME?</v>
      </c>
    </row>
    <row r="237" spans="1:4" x14ac:dyDescent="0.3">
      <c r="A237" s="48">
        <v>358205080902722</v>
      </c>
      <c r="B237" s="49">
        <v>45338.499722222223</v>
      </c>
      <c r="C237" s="46" t="s">
        <v>223</v>
      </c>
      <c r="D237" s="46" t="e">
        <f>#NAME?</f>
        <v>#NAME?</v>
      </c>
    </row>
    <row r="238" spans="1:4" x14ac:dyDescent="0.3">
      <c r="A238" s="48">
        <v>358205080902763</v>
      </c>
      <c r="B238" s="49">
        <v>45338.499895833331</v>
      </c>
      <c r="C238" s="46" t="s">
        <v>222</v>
      </c>
      <c r="D238" s="46" t="e">
        <f>#NAME?</f>
        <v>#NAME?</v>
      </c>
    </row>
    <row r="239" spans="1:4" x14ac:dyDescent="0.3">
      <c r="A239" s="48">
        <v>358205080902789</v>
      </c>
      <c r="B239" s="49">
        <v>45336.419502314813</v>
      </c>
      <c r="C239" s="46" t="s">
        <v>223</v>
      </c>
      <c r="D239" s="46" t="e">
        <f>#NAME?</f>
        <v>#NAME?</v>
      </c>
    </row>
    <row r="240" spans="1:4" x14ac:dyDescent="0.3">
      <c r="A240" s="48">
        <v>358205080902797</v>
      </c>
      <c r="B240" s="49">
        <v>45338.499652777777</v>
      </c>
      <c r="C240" s="46" t="s">
        <v>222</v>
      </c>
      <c r="D240" s="46" t="e">
        <f>#NAME?</f>
        <v>#NAME?</v>
      </c>
    </row>
    <row r="241" spans="1:4" x14ac:dyDescent="0.3">
      <c r="A241" s="48">
        <v>358205080902805</v>
      </c>
      <c r="B241" s="49">
        <v>45337.540023148147</v>
      </c>
      <c r="C241" s="46" t="s">
        <v>89</v>
      </c>
      <c r="D241" s="46" t="e">
        <f>#NAME?</f>
        <v>#NAME?</v>
      </c>
    </row>
    <row r="242" spans="1:4" x14ac:dyDescent="0.3">
      <c r="A242" s="48">
        <v>358205080902854</v>
      </c>
      <c r="B242" s="49">
        <v>45338.499618055554</v>
      </c>
      <c r="C242" s="46" t="s">
        <v>222</v>
      </c>
      <c r="D242" s="46" t="e">
        <f>#NAME?</f>
        <v>#NAME?</v>
      </c>
    </row>
    <row r="243" spans="1:4" x14ac:dyDescent="0.3">
      <c r="A243" s="48">
        <v>358205080903134</v>
      </c>
      <c r="B243" s="49">
        <v>45337.53979166667</v>
      </c>
      <c r="C243" s="46" t="s">
        <v>89</v>
      </c>
      <c r="D243" s="46" t="e">
        <f>#NAME?</f>
        <v>#NAME?</v>
      </c>
    </row>
    <row r="244" spans="1:4" x14ac:dyDescent="0.3">
      <c r="A244" s="48">
        <v>358205080903167</v>
      </c>
      <c r="B244" s="49">
        <v>45338.500277777777</v>
      </c>
      <c r="C244" s="46" t="s">
        <v>223</v>
      </c>
      <c r="D244" s="46" t="e">
        <f>#NAME?</f>
        <v>#NAME?</v>
      </c>
    </row>
    <row r="245" spans="1:4" x14ac:dyDescent="0.3">
      <c r="A245" s="48">
        <v>358205080903175</v>
      </c>
      <c r="B245" s="49">
        <v>45338.461215277777</v>
      </c>
      <c r="C245" s="46" t="s">
        <v>223</v>
      </c>
      <c r="D245" s="46" t="e">
        <f>#NAME?</f>
        <v>#NAME?</v>
      </c>
    </row>
    <row r="246" spans="1:4" x14ac:dyDescent="0.3">
      <c r="A246" s="48">
        <v>358205080903183</v>
      </c>
      <c r="B246" s="49">
        <v>45338.499641203707</v>
      </c>
      <c r="C246" s="46" t="s">
        <v>223</v>
      </c>
      <c r="D246" s="46" t="e">
        <f>#NAME?</f>
        <v>#NAME?</v>
      </c>
    </row>
    <row r="247" spans="1:4" x14ac:dyDescent="0.3">
      <c r="A247" s="48">
        <v>358205080903191</v>
      </c>
      <c r="B247" s="49">
        <v>45338.500023148146</v>
      </c>
      <c r="C247" s="46" t="s">
        <v>89</v>
      </c>
      <c r="D247" s="46" t="e">
        <f>#NAME?</f>
        <v>#NAME?</v>
      </c>
    </row>
    <row r="248" spans="1:4" x14ac:dyDescent="0.3">
      <c r="A248" s="48">
        <v>358205080903225</v>
      </c>
      <c r="B248" s="49">
        <v>45338.264710648145</v>
      </c>
      <c r="C248" s="46" t="s">
        <v>43</v>
      </c>
      <c r="D248" s="46" t="e">
        <f>#NAME?</f>
        <v>#NAME?</v>
      </c>
    </row>
    <row r="249" spans="1:4" x14ac:dyDescent="0.3">
      <c r="A249" s="48">
        <v>358205080903233</v>
      </c>
      <c r="B249" s="49">
        <v>45337.271967592591</v>
      </c>
      <c r="C249" s="46" t="s">
        <v>223</v>
      </c>
      <c r="D249" s="46" t="e">
        <f>#NAME?</f>
        <v>#NAME?</v>
      </c>
    </row>
    <row r="250" spans="1:4" x14ac:dyDescent="0.3">
      <c r="A250" s="48">
        <v>358205080903258</v>
      </c>
      <c r="B250" s="49">
        <v>45338.5002662037</v>
      </c>
      <c r="C250" s="46" t="s">
        <v>222</v>
      </c>
      <c r="D250" s="46" t="e">
        <f>#NAME?</f>
        <v>#NAME?</v>
      </c>
    </row>
    <row r="251" spans="1:4" x14ac:dyDescent="0.3">
      <c r="A251" s="48">
        <v>358205080903282</v>
      </c>
      <c r="B251" s="49">
        <v>45338.499895833331</v>
      </c>
      <c r="C251" s="46" t="s">
        <v>223</v>
      </c>
      <c r="D251" s="46" t="e">
        <f>#NAME?</f>
        <v>#NAME?</v>
      </c>
    </row>
    <row r="252" spans="1:4" x14ac:dyDescent="0.3">
      <c r="A252" s="48">
        <v>358205080903290</v>
      </c>
      <c r="B252" s="49">
        <v>45338.500300925924</v>
      </c>
      <c r="C252" s="46" t="s">
        <v>223</v>
      </c>
      <c r="D252" s="46" t="e">
        <f>#NAME?</f>
        <v>#NAME?</v>
      </c>
    </row>
    <row r="253" spans="1:4" x14ac:dyDescent="0.3">
      <c r="A253" s="48">
        <v>358205080903324</v>
      </c>
      <c r="B253" s="49">
        <v>45338.5003125</v>
      </c>
      <c r="C253" s="46" t="s">
        <v>43</v>
      </c>
      <c r="D253" s="46" t="e">
        <f>#NAME?</f>
        <v>#NAME?</v>
      </c>
    </row>
    <row r="254" spans="1:4" x14ac:dyDescent="0.3">
      <c r="A254" s="48">
        <v>358205080903332</v>
      </c>
      <c r="B254" s="49">
        <v>45338.347129629627</v>
      </c>
      <c r="C254" s="46" t="s">
        <v>43</v>
      </c>
      <c r="D254" s="46" t="e">
        <f>#NAME?</f>
        <v>#NAME?</v>
      </c>
    </row>
    <row r="255" spans="1:4" x14ac:dyDescent="0.3">
      <c r="A255" s="48">
        <v>358205080903381</v>
      </c>
      <c r="B255" s="49">
        <v>45338.499895833331</v>
      </c>
      <c r="C255" s="46" t="s">
        <v>43</v>
      </c>
      <c r="D255" s="46" t="e">
        <f>#NAME?</f>
        <v>#NAME?</v>
      </c>
    </row>
    <row r="256" spans="1:4" x14ac:dyDescent="0.3">
      <c r="A256" s="48">
        <v>358205080903399</v>
      </c>
      <c r="B256" s="49">
        <v>45338.499884259261</v>
      </c>
      <c r="C256" s="46" t="s">
        <v>89</v>
      </c>
      <c r="D256" s="46" t="e">
        <f>#NAME?</f>
        <v>#NAME?</v>
      </c>
    </row>
    <row r="257" spans="1:4" x14ac:dyDescent="0.3">
      <c r="A257" s="48">
        <v>358205080903670</v>
      </c>
      <c r="B257" s="49">
        <v>45338.5</v>
      </c>
      <c r="C257" s="46" t="s">
        <v>43</v>
      </c>
      <c r="D257" s="46" t="e">
        <f>#NAME?</f>
        <v>#NAME?</v>
      </c>
    </row>
    <row r="258" spans="1:4" x14ac:dyDescent="0.3">
      <c r="A258" s="48">
        <v>358205080903696</v>
      </c>
      <c r="B258" s="49">
        <v>45338.499652777777</v>
      </c>
      <c r="C258" s="46" t="s">
        <v>43</v>
      </c>
      <c r="D258" s="46" t="e">
        <f>#NAME?</f>
        <v>#NAME?</v>
      </c>
    </row>
    <row r="259" spans="1:4" x14ac:dyDescent="0.3">
      <c r="A259" s="48">
        <v>358205080903910</v>
      </c>
      <c r="B259" s="49">
        <v>45338.500011574077</v>
      </c>
      <c r="C259" s="46" t="s">
        <v>125</v>
      </c>
      <c r="D259" s="46" t="e">
        <f>#NAME?</f>
        <v>#NAME?</v>
      </c>
    </row>
    <row r="260" spans="1:4" x14ac:dyDescent="0.3">
      <c r="A260" s="48">
        <v>358205080903936</v>
      </c>
      <c r="B260" s="49">
        <v>45338.4999537037</v>
      </c>
      <c r="C260" s="46" t="s">
        <v>125</v>
      </c>
      <c r="D260" s="46" t="e">
        <f>#NAME?</f>
        <v>#NAME?</v>
      </c>
    </row>
    <row r="261" spans="1:4" x14ac:dyDescent="0.3">
      <c r="A261" s="48">
        <v>358205080903969</v>
      </c>
      <c r="B261" s="49">
        <v>45337.644270833334</v>
      </c>
      <c r="C261" s="46" t="s">
        <v>193</v>
      </c>
      <c r="D261" s="46" t="e">
        <f>#NAME?</f>
        <v>#NAME?</v>
      </c>
    </row>
    <row r="262" spans="1:4" x14ac:dyDescent="0.3">
      <c r="A262" s="48">
        <v>358205080903985</v>
      </c>
      <c r="B262" s="49">
        <v>45338.233460648145</v>
      </c>
      <c r="C262" s="46" t="s">
        <v>43</v>
      </c>
      <c r="D262" s="46" t="e">
        <f>#NAME?</f>
        <v>#NAME?</v>
      </c>
    </row>
    <row r="263" spans="1:4" x14ac:dyDescent="0.3">
      <c r="A263" s="48">
        <v>358205080904009</v>
      </c>
      <c r="B263" s="49">
        <v>45338.499641203707</v>
      </c>
      <c r="C263" s="46" t="s">
        <v>125</v>
      </c>
      <c r="D263" s="46" t="e">
        <f>#NAME?</f>
        <v>#NAME?</v>
      </c>
    </row>
    <row r="264" spans="1:4" x14ac:dyDescent="0.3">
      <c r="A264" s="48">
        <v>358205080904017</v>
      </c>
      <c r="B264" s="49">
        <v>45338.500057870369</v>
      </c>
      <c r="C264" s="46" t="s">
        <v>125</v>
      </c>
      <c r="D264" s="46" t="e">
        <f>#NAME?</f>
        <v>#NAME?</v>
      </c>
    </row>
    <row r="265" spans="1:4" x14ac:dyDescent="0.3">
      <c r="A265" s="48">
        <v>358205080904033</v>
      </c>
      <c r="B265" s="49">
        <v>45338.5</v>
      </c>
      <c r="C265" s="46" t="s">
        <v>125</v>
      </c>
      <c r="D265" s="46" t="e">
        <f>#NAME?</f>
        <v>#NAME?</v>
      </c>
    </row>
    <row r="266" spans="1:4" x14ac:dyDescent="0.3">
      <c r="A266" s="48">
        <v>358205080904074</v>
      </c>
      <c r="B266" s="49">
        <v>45338.499988425923</v>
      </c>
      <c r="C266" s="46" t="s">
        <v>43</v>
      </c>
      <c r="D266" s="46" t="e">
        <f>#NAME?</f>
        <v>#NAME?</v>
      </c>
    </row>
    <row r="267" spans="1:4" x14ac:dyDescent="0.3">
      <c r="A267" s="48">
        <v>358205080904082</v>
      </c>
      <c r="B267" s="49">
        <v>45338.499351851853</v>
      </c>
      <c r="C267" s="46" t="s">
        <v>222</v>
      </c>
      <c r="D267" s="46" t="e">
        <f>#NAME?</f>
        <v>#NAME?</v>
      </c>
    </row>
    <row r="268" spans="1:4" x14ac:dyDescent="0.3">
      <c r="A268" s="48">
        <v>358205080904090</v>
      </c>
      <c r="B268" s="49">
        <v>45338.500243055554</v>
      </c>
      <c r="C268" s="46" t="s">
        <v>222</v>
      </c>
      <c r="D268" s="46" t="e">
        <f>#NAME?</f>
        <v>#NAME?</v>
      </c>
    </row>
    <row r="269" spans="1:4" x14ac:dyDescent="0.3">
      <c r="A269" s="48">
        <v>358205080904215</v>
      </c>
      <c r="B269" s="49">
        <v>45338.499918981484</v>
      </c>
      <c r="C269" s="46" t="s">
        <v>125</v>
      </c>
      <c r="D269" s="46" t="e">
        <f>#NAME?</f>
        <v>#NAME?</v>
      </c>
    </row>
    <row r="270" spans="1:4" x14ac:dyDescent="0.3">
      <c r="A270" s="48">
        <v>358205080904421</v>
      </c>
      <c r="B270" s="49">
        <v>45338.500254629631</v>
      </c>
      <c r="C270" s="46" t="s">
        <v>222</v>
      </c>
      <c r="D270" s="46" t="e">
        <f>#NAME?</f>
        <v>#NAME?</v>
      </c>
    </row>
    <row r="271" spans="1:4" x14ac:dyDescent="0.3">
      <c r="A271" s="48">
        <v>358205080904504</v>
      </c>
      <c r="B271" s="49">
        <v>45338.37128472222</v>
      </c>
      <c r="C271" s="46" t="s">
        <v>222</v>
      </c>
      <c r="D271" s="46" t="e">
        <f>#NAME?</f>
        <v>#NAME?</v>
      </c>
    </row>
    <row r="272" spans="1:4" x14ac:dyDescent="0.3">
      <c r="A272" s="48">
        <v>358205080904512</v>
      </c>
      <c r="B272" s="49">
        <v>45338.371296296296</v>
      </c>
      <c r="C272" s="46" t="s">
        <v>222</v>
      </c>
      <c r="D272" s="46" t="e">
        <f>#NAME?</f>
        <v>#NAME?</v>
      </c>
    </row>
    <row r="273" spans="1:4" x14ac:dyDescent="0.3">
      <c r="A273" s="48">
        <v>358205080904595</v>
      </c>
      <c r="B273" s="49">
        <v>45338.500023148146</v>
      </c>
      <c r="C273" s="46" t="s">
        <v>222</v>
      </c>
      <c r="D273" s="46" t="e">
        <f>#NAME?</f>
        <v>#NAME?</v>
      </c>
    </row>
    <row r="274" spans="1:4" x14ac:dyDescent="0.3">
      <c r="A274" s="48">
        <v>358205080904603</v>
      </c>
      <c r="B274" s="49">
        <v>45336.25335648148</v>
      </c>
      <c r="C274" s="46" t="s">
        <v>223</v>
      </c>
      <c r="D274" s="46" t="e">
        <f>#NAME?</f>
        <v>#NAME?</v>
      </c>
    </row>
    <row r="275" spans="1:4" x14ac:dyDescent="0.3">
      <c r="A275" s="48">
        <v>358205080904637</v>
      </c>
      <c r="B275" s="49">
        <v>45338.400347222225</v>
      </c>
      <c r="C275" s="46" t="s">
        <v>125</v>
      </c>
      <c r="D275" s="46" t="e">
        <f>#NAME?</f>
        <v>#NAME?</v>
      </c>
    </row>
    <row r="276" spans="1:4" x14ac:dyDescent="0.3">
      <c r="A276" s="48">
        <v>358205080904645</v>
      </c>
      <c r="B276" s="49">
        <v>45338.500219907408</v>
      </c>
      <c r="C276" s="46" t="s">
        <v>125</v>
      </c>
      <c r="D276" s="46" t="e">
        <f>#NAME?</f>
        <v>#NAME?</v>
      </c>
    </row>
    <row r="277" spans="1:4" x14ac:dyDescent="0.3">
      <c r="A277" s="48">
        <v>358205080904652</v>
      </c>
      <c r="B277" s="49">
        <v>45338.500219907408</v>
      </c>
      <c r="C277" s="46" t="s">
        <v>125</v>
      </c>
      <c r="D277" s="46" t="e">
        <f>#NAME?</f>
        <v>#NAME?</v>
      </c>
    </row>
    <row r="278" spans="1:4" x14ac:dyDescent="0.3">
      <c r="A278" s="48">
        <v>358205080904678</v>
      </c>
      <c r="B278" s="49">
        <v>45338.499641203707</v>
      </c>
      <c r="C278" s="46" t="s">
        <v>125</v>
      </c>
      <c r="D278" s="46" t="e">
        <f>#NAME?</f>
        <v>#NAME?</v>
      </c>
    </row>
    <row r="279" spans="1:4" x14ac:dyDescent="0.3">
      <c r="A279" s="48">
        <v>358205080904728</v>
      </c>
      <c r="B279" s="49">
        <v>45336.405706018515</v>
      </c>
      <c r="C279" s="46" t="s">
        <v>125</v>
      </c>
      <c r="D279" s="46" t="e">
        <f>#NAME?</f>
        <v>#NAME?</v>
      </c>
    </row>
    <row r="280" spans="1:4" x14ac:dyDescent="0.3">
      <c r="A280" s="48">
        <v>358205080904785</v>
      </c>
      <c r="B280" s="49">
        <v>45338.499745370369</v>
      </c>
      <c r="C280" s="46" t="s">
        <v>223</v>
      </c>
      <c r="D280" s="46" t="e">
        <f>#NAME?</f>
        <v>#NAME?</v>
      </c>
    </row>
    <row r="281" spans="1:4" x14ac:dyDescent="0.3">
      <c r="A281" s="48">
        <v>358205080904793</v>
      </c>
      <c r="B281" s="49">
        <v>45336.525138888886</v>
      </c>
      <c r="C281" s="46" t="s">
        <v>223</v>
      </c>
      <c r="D281" s="46" t="e">
        <f>#NAME?</f>
        <v>#NAME?</v>
      </c>
    </row>
    <row r="282" spans="1:4" x14ac:dyDescent="0.3">
      <c r="A282" s="48">
        <v>358205080904801</v>
      </c>
      <c r="B282" s="49">
        <v>45336.280648148146</v>
      </c>
      <c r="C282" s="46" t="s">
        <v>223</v>
      </c>
      <c r="D282" s="46" t="e">
        <f>#NAME?</f>
        <v>#NAME?</v>
      </c>
    </row>
    <row r="283" spans="1:4" x14ac:dyDescent="0.3">
      <c r="A283" s="48">
        <v>358205080904819</v>
      </c>
      <c r="B283" s="49">
        <v>45338.499756944446</v>
      </c>
      <c r="C283" s="46" t="s">
        <v>222</v>
      </c>
      <c r="D283" s="46" t="e">
        <f>#NAME?</f>
        <v>#NAME?</v>
      </c>
    </row>
    <row r="284" spans="1:4" x14ac:dyDescent="0.3">
      <c r="A284" s="48">
        <v>358205080905030</v>
      </c>
      <c r="B284" s="49">
        <v>45338.499768518515</v>
      </c>
      <c r="C284" s="46" t="s">
        <v>43</v>
      </c>
      <c r="D284" s="46" t="e">
        <f>#NAME?</f>
        <v>#NAME?</v>
      </c>
    </row>
    <row r="285" spans="1:4" x14ac:dyDescent="0.3">
      <c r="A285" s="48">
        <v>358205080905089</v>
      </c>
      <c r="B285" s="49">
        <v>45337.798587962963</v>
      </c>
      <c r="C285" s="46" t="s">
        <v>125</v>
      </c>
      <c r="D285" s="46" t="e">
        <f>#NAME?</f>
        <v>#NAME?</v>
      </c>
    </row>
    <row r="286" spans="1:4" x14ac:dyDescent="0.3">
      <c r="A286" s="48">
        <v>358205080905097</v>
      </c>
      <c r="B286" s="49">
        <v>45338.499849537038</v>
      </c>
      <c r="C286" s="46" t="s">
        <v>125</v>
      </c>
      <c r="D286" s="46" t="e">
        <f>#NAME?</f>
        <v>#NAME?</v>
      </c>
    </row>
    <row r="287" spans="1:4" x14ac:dyDescent="0.3">
      <c r="A287" s="48">
        <v>358205080905105</v>
      </c>
      <c r="B287" s="49">
        <v>45336.988738425927</v>
      </c>
      <c r="C287" s="46" t="s">
        <v>125</v>
      </c>
      <c r="D287" s="46" t="e">
        <f>#NAME?</f>
        <v>#NAME?</v>
      </c>
    </row>
    <row r="288" spans="1:4" x14ac:dyDescent="0.3">
      <c r="A288" s="48">
        <v>358205080908315</v>
      </c>
      <c r="B288" s="49">
        <v>45336.508668981478</v>
      </c>
      <c r="C288" s="46" t="s">
        <v>193</v>
      </c>
      <c r="D288" s="46" t="e">
        <f>#NAME?</f>
        <v>#NAME?</v>
      </c>
    </row>
    <row r="289" spans="1:4" x14ac:dyDescent="0.3">
      <c r="A289" s="48">
        <v>358205080908323</v>
      </c>
      <c r="B289" s="49">
        <v>45338.499884259261</v>
      </c>
      <c r="C289" s="46" t="s">
        <v>193</v>
      </c>
      <c r="D289" s="46" t="e">
        <f>#NAME?</f>
        <v>#NAME?</v>
      </c>
    </row>
    <row r="290" spans="1:4" x14ac:dyDescent="0.3">
      <c r="A290" s="48">
        <v>358205080908331</v>
      </c>
      <c r="B290" s="49">
        <v>45336.226481481484</v>
      </c>
      <c r="C290" s="46" t="s">
        <v>193</v>
      </c>
      <c r="D290" s="46" t="e">
        <f>#NAME?</f>
        <v>#NAME?</v>
      </c>
    </row>
    <row r="291" spans="1:4" x14ac:dyDescent="0.3">
      <c r="A291" s="48">
        <v>358205080908380</v>
      </c>
      <c r="B291" s="49">
        <v>45338.499780092592</v>
      </c>
      <c r="C291" s="46" t="s">
        <v>222</v>
      </c>
      <c r="D291" s="46" t="e">
        <f>#NAME?</f>
        <v>#NAME?</v>
      </c>
    </row>
    <row r="292" spans="1:4" x14ac:dyDescent="0.3">
      <c r="A292" s="48">
        <v>358205080908398</v>
      </c>
      <c r="B292" s="49">
        <v>45338.499849537038</v>
      </c>
      <c r="C292" s="46" t="s">
        <v>222</v>
      </c>
      <c r="D292" s="46" t="e">
        <f>#NAME?</f>
        <v>#NAME?</v>
      </c>
    </row>
    <row r="293" spans="1:4" x14ac:dyDescent="0.3">
      <c r="A293" s="48">
        <v>358205080908422</v>
      </c>
      <c r="B293" s="49">
        <v>45338.499895833331</v>
      </c>
      <c r="C293" s="46" t="s">
        <v>222</v>
      </c>
      <c r="D293" s="46" t="e">
        <f>#NAME?</f>
        <v>#NAME?</v>
      </c>
    </row>
    <row r="294" spans="1:4" x14ac:dyDescent="0.3">
      <c r="A294" s="48">
        <v>358205080908497</v>
      </c>
      <c r="B294" s="49">
        <v>45338.499814814815</v>
      </c>
      <c r="C294" s="46" t="s">
        <v>222</v>
      </c>
      <c r="D294" s="46" t="e">
        <f>#NAME?</f>
        <v>#NAME?</v>
      </c>
    </row>
    <row r="295" spans="1:4" x14ac:dyDescent="0.3">
      <c r="A295" s="48">
        <v>358205080908505</v>
      </c>
      <c r="B295" s="49">
        <v>45338.385972222219</v>
      </c>
      <c r="C295" s="46" t="s">
        <v>222</v>
      </c>
      <c r="D295" s="46" t="e">
        <f>#NAME?</f>
        <v>#NAME?</v>
      </c>
    </row>
    <row r="296" spans="1:4" x14ac:dyDescent="0.3">
      <c r="A296" s="48">
        <v>358205080908521</v>
      </c>
      <c r="B296" s="49">
        <v>45338.4997337963</v>
      </c>
      <c r="C296" s="46" t="s">
        <v>222</v>
      </c>
      <c r="D296" s="46" t="e">
        <f>#NAME?</f>
        <v>#NAME?</v>
      </c>
    </row>
    <row r="297" spans="1:4" x14ac:dyDescent="0.3">
      <c r="A297" s="48">
        <v>358205080908547</v>
      </c>
      <c r="B297" s="49">
        <v>45338.499814814815</v>
      </c>
      <c r="C297" s="46" t="s">
        <v>222</v>
      </c>
      <c r="D297" s="46" t="e">
        <f>#NAME?</f>
        <v>#NAME?</v>
      </c>
    </row>
    <row r="298" spans="1:4" x14ac:dyDescent="0.3">
      <c r="A298" s="48">
        <v>358205080908588</v>
      </c>
      <c r="B298" s="49">
        <v>45338.500104166669</v>
      </c>
      <c r="C298" s="46" t="s">
        <v>222</v>
      </c>
      <c r="D298" s="46" t="e">
        <f>#NAME?</f>
        <v>#NAME?</v>
      </c>
    </row>
    <row r="299" spans="1:4" x14ac:dyDescent="0.3">
      <c r="A299" s="48">
        <v>358205080908596</v>
      </c>
      <c r="B299" s="49">
        <v>45338.499768518515</v>
      </c>
      <c r="C299" s="46" t="s">
        <v>222</v>
      </c>
      <c r="D299" s="46" t="e">
        <f>#NAME?</f>
        <v>#NAME?</v>
      </c>
    </row>
    <row r="300" spans="1:4" x14ac:dyDescent="0.3">
      <c r="A300" s="48">
        <v>358205080908646</v>
      </c>
      <c r="B300" s="49">
        <v>45338.500162037039</v>
      </c>
      <c r="C300" s="46" t="s">
        <v>89</v>
      </c>
      <c r="D300" s="46" t="e">
        <f>#NAME?</f>
        <v>#NAME?</v>
      </c>
    </row>
    <row r="301" spans="1:4" x14ac:dyDescent="0.3">
      <c r="A301" s="48">
        <v>358205080908687</v>
      </c>
      <c r="B301" s="49">
        <v>45336.61314814815</v>
      </c>
      <c r="C301" s="46" t="s">
        <v>222</v>
      </c>
      <c r="D301" s="46" t="e">
        <f>#NAME?</f>
        <v>#NAME?</v>
      </c>
    </row>
    <row r="302" spans="1:4" x14ac:dyDescent="0.3">
      <c r="A302" s="48">
        <v>358205080908703</v>
      </c>
      <c r="B302" s="49">
        <v>45336.56559027778</v>
      </c>
      <c r="C302" s="46" t="s">
        <v>89</v>
      </c>
      <c r="D302" s="46" t="e">
        <f>#NAME?</f>
        <v>#NAME?</v>
      </c>
    </row>
    <row r="303" spans="1:4" x14ac:dyDescent="0.3">
      <c r="A303" s="48">
        <v>358205080908737</v>
      </c>
      <c r="B303" s="49">
        <v>45338.277060185188</v>
      </c>
      <c r="C303" s="46" t="s">
        <v>222</v>
      </c>
      <c r="D303" s="46" t="e">
        <f>#NAME?</f>
        <v>#NAME?</v>
      </c>
    </row>
    <row r="304" spans="1:4" x14ac:dyDescent="0.3">
      <c r="A304" s="48">
        <v>358205080908760</v>
      </c>
      <c r="B304" s="49">
        <v>45338.377939814818</v>
      </c>
      <c r="C304" s="46" t="s">
        <v>89</v>
      </c>
      <c r="D304" s="46" t="e">
        <f>#NAME?</f>
        <v>#NAME?</v>
      </c>
    </row>
    <row r="305" spans="1:4" x14ac:dyDescent="0.3">
      <c r="A305" s="48">
        <v>358205080908778</v>
      </c>
      <c r="B305" s="49">
        <v>45336.539756944447</v>
      </c>
      <c r="C305" s="46" t="s">
        <v>222</v>
      </c>
      <c r="D305" s="46" t="e">
        <f>#NAME?</f>
        <v>#NAME?</v>
      </c>
    </row>
    <row r="306" spans="1:4" x14ac:dyDescent="0.3">
      <c r="A306" s="48">
        <v>358205080908786</v>
      </c>
      <c r="B306" s="49">
        <v>45338.499826388892</v>
      </c>
      <c r="C306" s="46" t="s">
        <v>89</v>
      </c>
      <c r="D306" s="46" t="e">
        <f>#NAME?</f>
        <v>#NAME?</v>
      </c>
    </row>
    <row r="307" spans="1:4" x14ac:dyDescent="0.3">
      <c r="A307" s="48">
        <v>358205080908877</v>
      </c>
      <c r="B307" s="49">
        <v>45338.500231481485</v>
      </c>
      <c r="C307" s="46" t="s">
        <v>89</v>
      </c>
      <c r="D307" s="46" t="e">
        <f>#NAME?</f>
        <v>#NAME?</v>
      </c>
    </row>
    <row r="308" spans="1:4" x14ac:dyDescent="0.3">
      <c r="A308" s="48">
        <v>358205080908927</v>
      </c>
      <c r="B308" s="49">
        <v>45338.499803240738</v>
      </c>
      <c r="C308" s="46" t="s">
        <v>89</v>
      </c>
      <c r="D308" s="46" t="e">
        <f>#NAME?</f>
        <v>#NAME?</v>
      </c>
    </row>
    <row r="309" spans="1:4" x14ac:dyDescent="0.3">
      <c r="A309" s="48">
        <v>358205080908943</v>
      </c>
      <c r="B309" s="49">
        <v>45336.217743055553</v>
      </c>
      <c r="C309" s="46" t="s">
        <v>223</v>
      </c>
      <c r="D309" s="46" t="e">
        <f>#NAME?</f>
        <v>#NAME?</v>
      </c>
    </row>
    <row r="310" spans="1:4" x14ac:dyDescent="0.3">
      <c r="A310" s="48">
        <v>358205080908950</v>
      </c>
      <c r="B310" s="49">
        <v>45338.499664351853</v>
      </c>
      <c r="C310" s="46" t="s">
        <v>222</v>
      </c>
      <c r="D310" s="46" t="e">
        <f>#NAME?</f>
        <v>#NAME?</v>
      </c>
    </row>
    <row r="311" spans="1:4" x14ac:dyDescent="0.3">
      <c r="A311" s="48">
        <v>358205080909016</v>
      </c>
      <c r="B311" s="49">
        <v>45338.495972222219</v>
      </c>
      <c r="C311" s="46" t="s">
        <v>223</v>
      </c>
      <c r="D311" s="46" t="e">
        <f>#NAME?</f>
        <v>#NAME?</v>
      </c>
    </row>
    <row r="312" spans="1:4" x14ac:dyDescent="0.3">
      <c r="A312" s="48">
        <v>358205080909073</v>
      </c>
      <c r="B312" s="49">
        <v>45336.46707175926</v>
      </c>
      <c r="C312" s="46" t="s">
        <v>223</v>
      </c>
      <c r="D312" s="46" t="e">
        <f>#NAME?</f>
        <v>#NAME?</v>
      </c>
    </row>
    <row r="313" spans="1:4" x14ac:dyDescent="0.3">
      <c r="A313" s="48">
        <v>358205080909149</v>
      </c>
      <c r="B313" s="49">
        <v>45336.524733796294</v>
      </c>
      <c r="C313" s="46" t="s">
        <v>223</v>
      </c>
      <c r="D313" s="46" t="e">
        <f>#NAME?</f>
        <v>#NAME?</v>
      </c>
    </row>
    <row r="314" spans="1:4" x14ac:dyDescent="0.3">
      <c r="A314" s="48">
        <v>358205080909172</v>
      </c>
      <c r="B314" s="49">
        <v>45338.500208333331</v>
      </c>
      <c r="C314" s="46" t="s">
        <v>89</v>
      </c>
      <c r="D314" s="46" t="e">
        <f>#NAME?</f>
        <v>#NAME?</v>
      </c>
    </row>
    <row r="315" spans="1:4" x14ac:dyDescent="0.3">
      <c r="A315" s="48">
        <v>358205080909198</v>
      </c>
      <c r="B315" s="49">
        <v>45338.499641203707</v>
      </c>
      <c r="C315" s="46" t="s">
        <v>89</v>
      </c>
      <c r="D315" s="46" t="e">
        <f>#NAME?</f>
        <v>#NAME?</v>
      </c>
    </row>
    <row r="316" spans="1:4" x14ac:dyDescent="0.3">
      <c r="A316" s="48">
        <v>358205080909214</v>
      </c>
      <c r="B316" s="49">
        <v>45338.500289351854</v>
      </c>
      <c r="C316" s="46" t="s">
        <v>89</v>
      </c>
      <c r="D316" s="46" t="e">
        <f>#NAME?</f>
        <v>#NAME?</v>
      </c>
    </row>
    <row r="317" spans="1:4" x14ac:dyDescent="0.3">
      <c r="A317" s="48">
        <v>358205080909230</v>
      </c>
      <c r="B317" s="49">
        <v>45338.489895833336</v>
      </c>
      <c r="C317" s="46" t="s">
        <v>223</v>
      </c>
      <c r="D317" s="46" t="e">
        <f>#NAME?</f>
        <v>#NAME?</v>
      </c>
    </row>
    <row r="318" spans="1:4" x14ac:dyDescent="0.3">
      <c r="A318" s="48">
        <v>358205080909248</v>
      </c>
      <c r="B318" s="49">
        <v>45338.297534722224</v>
      </c>
      <c r="C318" s="46" t="s">
        <v>223</v>
      </c>
      <c r="D318" s="46" t="e">
        <f>#NAME?</f>
        <v>#NAME?</v>
      </c>
    </row>
    <row r="319" spans="1:4" x14ac:dyDescent="0.3">
      <c r="A319" s="48">
        <v>358205080909255</v>
      </c>
      <c r="B319" s="49">
        <v>45336.365868055553</v>
      </c>
      <c r="C319" s="46" t="s">
        <v>223</v>
      </c>
      <c r="D319" s="46" t="e">
        <f>#NAME?</f>
        <v>#NAME?</v>
      </c>
    </row>
    <row r="320" spans="1:4" x14ac:dyDescent="0.3">
      <c r="A320" s="48">
        <v>358205080909263</v>
      </c>
      <c r="B320" s="49">
        <v>45337.308645833335</v>
      </c>
      <c r="C320" s="46" t="s">
        <v>223</v>
      </c>
      <c r="D320" s="46" t="e">
        <f>#NAME?</f>
        <v>#NAME?</v>
      </c>
    </row>
    <row r="321" spans="1:4" x14ac:dyDescent="0.3">
      <c r="A321" s="48">
        <v>358205080909297</v>
      </c>
      <c r="B321" s="49">
        <v>45338.500289351854</v>
      </c>
      <c r="C321" s="46" t="s">
        <v>223</v>
      </c>
      <c r="D321" s="46" t="e">
        <f>#NAME?</f>
        <v>#NAME?</v>
      </c>
    </row>
    <row r="322" spans="1:4" x14ac:dyDescent="0.3">
      <c r="A322" s="48">
        <v>358205080909313</v>
      </c>
      <c r="B322" s="49">
        <v>45338.500277777777</v>
      </c>
      <c r="C322" s="46" t="s">
        <v>223</v>
      </c>
      <c r="D322" s="46" t="e">
        <f>#NAME?</f>
        <v>#NAME?</v>
      </c>
    </row>
    <row r="323" spans="1:4" x14ac:dyDescent="0.3">
      <c r="A323" s="48">
        <v>358205080933321</v>
      </c>
      <c r="B323" s="49">
        <v>45338.500300925924</v>
      </c>
      <c r="C323" s="46" t="s">
        <v>178</v>
      </c>
      <c r="D323" s="46" t="e">
        <f>#NAME?</f>
        <v>#NAME?</v>
      </c>
    </row>
    <row r="324" spans="1:4" x14ac:dyDescent="0.3">
      <c r="A324" s="48">
        <v>358205080933347</v>
      </c>
      <c r="B324" s="49">
        <v>45338.499849537038</v>
      </c>
      <c r="C324" s="46" t="s">
        <v>149</v>
      </c>
      <c r="D324" s="46" t="e">
        <f>#NAME?</f>
        <v>#NAME?</v>
      </c>
    </row>
    <row r="325" spans="1:4" x14ac:dyDescent="0.3">
      <c r="A325" s="48">
        <v>358205080933412</v>
      </c>
      <c r="B325" s="49">
        <v>45338.500185185185</v>
      </c>
      <c r="C325" s="46" t="s">
        <v>178</v>
      </c>
      <c r="D325" s="46" t="e">
        <f>#NAME?</f>
        <v>#NAME?</v>
      </c>
    </row>
    <row r="326" spans="1:4" x14ac:dyDescent="0.3">
      <c r="A326" s="48">
        <v>358205080933420</v>
      </c>
      <c r="B326" s="49">
        <v>45338.499837962961</v>
      </c>
      <c r="C326" s="46" t="s">
        <v>149</v>
      </c>
      <c r="D326" s="46" t="e">
        <f>#NAME?</f>
        <v>#NAME?</v>
      </c>
    </row>
    <row r="327" spans="1:4" x14ac:dyDescent="0.3">
      <c r="A327" s="48">
        <v>358205080933446</v>
      </c>
      <c r="B327" s="49">
        <v>45338.500162037039</v>
      </c>
      <c r="C327" s="46" t="s">
        <v>149</v>
      </c>
      <c r="D327" s="46" t="e">
        <f>#NAME?</f>
        <v>#NAME?</v>
      </c>
    </row>
    <row r="328" spans="1:4" x14ac:dyDescent="0.3">
      <c r="A328" s="48">
        <v>358205080933461</v>
      </c>
      <c r="B328" s="49">
        <v>45338.500011574077</v>
      </c>
      <c r="C328" s="46" t="s">
        <v>149</v>
      </c>
      <c r="D328" s="46" t="e">
        <f>#NAME?</f>
        <v>#NAME?</v>
      </c>
    </row>
    <row r="329" spans="1:4" x14ac:dyDescent="0.3">
      <c r="A329" s="48">
        <v>358205080933487</v>
      </c>
      <c r="B329" s="49">
        <v>45338.500208333331</v>
      </c>
      <c r="C329" s="46" t="s">
        <v>178</v>
      </c>
      <c r="D329" s="46" t="e">
        <f>#NAME?</f>
        <v>#NAME?</v>
      </c>
    </row>
    <row r="330" spans="1:4" x14ac:dyDescent="0.3">
      <c r="A330" s="48">
        <v>358205080933495</v>
      </c>
      <c r="B330" s="49">
        <v>45338.392465277779</v>
      </c>
      <c r="C330" s="46" t="s">
        <v>149</v>
      </c>
      <c r="D330" s="46" t="e">
        <f>#NAME?</f>
        <v>#NAME?</v>
      </c>
    </row>
    <row r="331" spans="1:4" x14ac:dyDescent="0.3">
      <c r="A331" s="48">
        <v>358205080933529</v>
      </c>
      <c r="B331" s="49">
        <v>45338.499895833331</v>
      </c>
      <c r="C331" s="46" t="s">
        <v>178</v>
      </c>
      <c r="D331" s="46" t="e">
        <f>#NAME?</f>
        <v>#NAME?</v>
      </c>
    </row>
    <row r="332" spans="1:4" x14ac:dyDescent="0.3">
      <c r="A332" s="48">
        <v>358205080933560</v>
      </c>
      <c r="B332" s="49">
        <v>45338.500104166669</v>
      </c>
      <c r="C332" s="46" t="s">
        <v>178</v>
      </c>
      <c r="D332" s="46" t="e">
        <f>#NAME?</f>
        <v>#NAME?</v>
      </c>
    </row>
    <row r="333" spans="1:4" x14ac:dyDescent="0.3">
      <c r="A333" s="48">
        <v>358205080933586</v>
      </c>
      <c r="B333" s="49">
        <v>45337.676747685182</v>
      </c>
      <c r="C333" s="46" t="s">
        <v>178</v>
      </c>
      <c r="D333" s="46" t="e">
        <f>#NAME?</f>
        <v>#NAME?</v>
      </c>
    </row>
    <row r="334" spans="1:4" x14ac:dyDescent="0.3">
      <c r="A334" s="48">
        <v>358205080933651</v>
      </c>
      <c r="B334" s="49">
        <v>45338.500254629631</v>
      </c>
      <c r="C334" s="46" t="s">
        <v>149</v>
      </c>
      <c r="D334" s="46" t="e">
        <f>#NAME?</f>
        <v>#NAME?</v>
      </c>
    </row>
    <row r="335" spans="1:4" x14ac:dyDescent="0.3">
      <c r="A335" s="48">
        <v>358205080933727</v>
      </c>
      <c r="B335" s="49">
        <v>45338.499965277777</v>
      </c>
      <c r="C335" s="46" t="s">
        <v>149</v>
      </c>
      <c r="D335" s="46" t="e">
        <f>#NAME?</f>
        <v>#NAME?</v>
      </c>
    </row>
    <row r="336" spans="1:4" x14ac:dyDescent="0.3">
      <c r="A336" s="48">
        <v>358205080933818</v>
      </c>
      <c r="B336" s="49">
        <v>45338.4997337963</v>
      </c>
      <c r="C336" s="46" t="s">
        <v>149</v>
      </c>
      <c r="D336" s="46" t="e">
        <f>#NAME?</f>
        <v>#NAME?</v>
      </c>
    </row>
    <row r="337" spans="1:4" x14ac:dyDescent="0.3">
      <c r="A337" s="48">
        <v>358205080933826</v>
      </c>
      <c r="B337" s="49">
        <v>45338.4997337963</v>
      </c>
      <c r="C337" s="46" t="s">
        <v>149</v>
      </c>
      <c r="D337" s="46" t="e">
        <f>#NAME?</f>
        <v>#NAME?</v>
      </c>
    </row>
    <row r="338" spans="1:4" x14ac:dyDescent="0.3">
      <c r="A338" s="48">
        <v>358205080933842</v>
      </c>
      <c r="B338" s="49">
        <v>45338.4997337963</v>
      </c>
      <c r="C338" s="46" t="s">
        <v>149</v>
      </c>
      <c r="D338" s="46" t="e">
        <f>#NAME?</f>
        <v>#NAME?</v>
      </c>
    </row>
    <row r="339" spans="1:4" x14ac:dyDescent="0.3">
      <c r="A339" s="48">
        <v>358205081055256</v>
      </c>
      <c r="B339" s="49">
        <v>45338.4997337963</v>
      </c>
      <c r="C339" s="46" t="s">
        <v>43</v>
      </c>
      <c r="D339" s="46" t="e">
        <f>#NAME?</f>
        <v>#NAME?</v>
      </c>
    </row>
    <row r="340" spans="1:4" x14ac:dyDescent="0.3">
      <c r="A340" s="48">
        <v>358205081055553</v>
      </c>
      <c r="B340" s="49">
        <v>45338.500289351854</v>
      </c>
      <c r="C340" s="46" t="s">
        <v>43</v>
      </c>
      <c r="D340" s="46" t="e">
        <f>#NAME?</f>
        <v>#NAME?</v>
      </c>
    </row>
    <row r="341" spans="1:4" x14ac:dyDescent="0.3">
      <c r="A341" s="48">
        <v>358205082875090</v>
      </c>
      <c r="B341" s="49">
        <v>45338.321608796294</v>
      </c>
      <c r="C341" s="46" t="s">
        <v>87</v>
      </c>
      <c r="D341" s="46" t="e">
        <f>#NAME?</f>
        <v>#NAME?</v>
      </c>
    </row>
    <row r="342" spans="1:4" x14ac:dyDescent="0.3">
      <c r="A342" s="48">
        <v>358205083573538</v>
      </c>
      <c r="B342" s="49">
        <v>45338.500104166669</v>
      </c>
      <c r="C342" s="46" t="s">
        <v>87</v>
      </c>
      <c r="D342" s="46" t="e">
        <f>#NAME?</f>
        <v>#NAME?</v>
      </c>
    </row>
    <row r="343" spans="1:4" x14ac:dyDescent="0.3">
      <c r="A343" s="48">
        <v>358205083573629</v>
      </c>
      <c r="B343" s="49">
        <v>45338.500208333331</v>
      </c>
      <c r="C343" s="46" t="s">
        <v>149</v>
      </c>
      <c r="D343" s="46" t="e">
        <f>#NAME?</f>
        <v>#NAME?</v>
      </c>
    </row>
    <row r="344" spans="1:4" x14ac:dyDescent="0.3">
      <c r="A344" s="48">
        <v>358205083573835</v>
      </c>
      <c r="B344" s="49">
        <v>45338.500277777777</v>
      </c>
      <c r="C344" s="46" t="s">
        <v>125</v>
      </c>
      <c r="D344" s="46" t="e">
        <f>#NAME?</f>
        <v>#NAME?</v>
      </c>
    </row>
    <row r="345" spans="1:4" x14ac:dyDescent="0.3">
      <c r="A345" s="48">
        <v>358205083573850</v>
      </c>
      <c r="B345" s="49">
        <v>45338.500138888892</v>
      </c>
      <c r="C345" s="46" t="s">
        <v>125</v>
      </c>
      <c r="D345" s="46" t="e">
        <f>#NAME?</f>
        <v>#NAME?</v>
      </c>
    </row>
    <row r="346" spans="1:4" x14ac:dyDescent="0.3">
      <c r="A346" s="48">
        <v>358205083573892</v>
      </c>
      <c r="B346" s="49">
        <v>45338.499664351853</v>
      </c>
      <c r="C346" s="46" t="s">
        <v>125</v>
      </c>
      <c r="D346" s="46" t="e">
        <f>#NAME?</f>
        <v>#NAME?</v>
      </c>
    </row>
    <row r="347" spans="1:4" x14ac:dyDescent="0.3">
      <c r="A347" s="48">
        <v>358205083573918</v>
      </c>
      <c r="B347" s="49">
        <v>45338.499988425923</v>
      </c>
      <c r="C347" s="46" t="s">
        <v>125</v>
      </c>
      <c r="D347" s="46" t="e">
        <f>#NAME?</f>
        <v>#NAME?</v>
      </c>
    </row>
    <row r="348" spans="1:4" x14ac:dyDescent="0.3">
      <c r="A348" s="48">
        <v>358205083574080</v>
      </c>
      <c r="B348" s="49">
        <v>45338.499814814815</v>
      </c>
      <c r="C348" s="46" t="s">
        <v>43</v>
      </c>
      <c r="D348" s="46" t="e">
        <f>#NAME?</f>
        <v>#NAME?</v>
      </c>
    </row>
    <row r="349" spans="1:4" x14ac:dyDescent="0.3">
      <c r="A349" s="48">
        <v>358205083574114</v>
      </c>
      <c r="B349" s="49">
        <v>45337.64471064815</v>
      </c>
      <c r="C349" s="46" t="s">
        <v>43</v>
      </c>
      <c r="D349" s="46" t="e">
        <f>#NAME?</f>
        <v>#NAME?</v>
      </c>
    </row>
    <row r="350" spans="1:4" x14ac:dyDescent="0.3">
      <c r="A350" s="48">
        <v>358205083574189</v>
      </c>
      <c r="B350" s="49">
        <v>45337.600995370369</v>
      </c>
      <c r="C350" s="46" t="s">
        <v>125</v>
      </c>
      <c r="D350" s="46" t="e">
        <f>#NAME?</f>
        <v>#NAME?</v>
      </c>
    </row>
    <row r="351" spans="1:4" x14ac:dyDescent="0.3">
      <c r="A351" s="48">
        <v>358205083574239</v>
      </c>
      <c r="B351" s="49">
        <v>45338.499664351853</v>
      </c>
      <c r="C351" s="46" t="s">
        <v>149</v>
      </c>
      <c r="D351" s="46" t="e">
        <f>#NAME?</f>
        <v>#NAME?</v>
      </c>
    </row>
    <row r="352" spans="1:4" x14ac:dyDescent="0.3">
      <c r="A352" s="48">
        <v>358205083574452</v>
      </c>
      <c r="B352" s="49">
        <v>45338.499745370369</v>
      </c>
      <c r="C352" s="46" t="s">
        <v>43</v>
      </c>
      <c r="D352" s="46" t="e">
        <f>#NAME?</f>
        <v>#NAME?</v>
      </c>
    </row>
    <row r="353" spans="1:4" x14ac:dyDescent="0.3">
      <c r="A353" s="48">
        <v>358205083574502</v>
      </c>
      <c r="B353" s="49">
        <v>45338.264988425923</v>
      </c>
      <c r="C353" s="46" t="s">
        <v>43</v>
      </c>
      <c r="D353" s="46" t="e">
        <f>#NAME?</f>
        <v>#NAME?</v>
      </c>
    </row>
    <row r="354" spans="1:4" x14ac:dyDescent="0.3">
      <c r="A354" s="48">
        <v>358205083574536</v>
      </c>
      <c r="B354" s="49">
        <v>45337.86109953704</v>
      </c>
      <c r="C354" s="46" t="s">
        <v>178</v>
      </c>
      <c r="D354" s="46" t="e">
        <f>#NAME?</f>
        <v>#NAME?</v>
      </c>
    </row>
    <row r="355" spans="1:4" x14ac:dyDescent="0.3">
      <c r="A355" s="48">
        <v>358205083574544</v>
      </c>
      <c r="B355" s="49">
        <v>45338.261678240742</v>
      </c>
      <c r="C355" s="46" t="s">
        <v>149</v>
      </c>
      <c r="D355" s="46" t="e">
        <f>#NAME?</f>
        <v>#NAME?</v>
      </c>
    </row>
    <row r="356" spans="1:4" x14ac:dyDescent="0.3">
      <c r="A356" s="48">
        <v>358205083574569</v>
      </c>
      <c r="B356" s="49">
        <v>45336.213622685187</v>
      </c>
      <c r="C356" s="46" t="s">
        <v>193</v>
      </c>
      <c r="D356" s="46" t="e">
        <f>#NAME?</f>
        <v>#NAME?</v>
      </c>
    </row>
    <row r="357" spans="1:4" x14ac:dyDescent="0.3">
      <c r="A357" s="48">
        <v>358205083574601</v>
      </c>
      <c r="B357" s="49">
        <v>45338.500057870369</v>
      </c>
      <c r="C357" s="46" t="s">
        <v>178</v>
      </c>
      <c r="D357" s="46" t="e">
        <f>#NAME?</f>
        <v>#NAME?</v>
      </c>
    </row>
    <row r="358" spans="1:4" x14ac:dyDescent="0.3">
      <c r="A358" s="48">
        <v>358205083574734</v>
      </c>
      <c r="B358" s="49">
        <v>45338.5000462963</v>
      </c>
      <c r="C358" s="46" t="s">
        <v>149</v>
      </c>
      <c r="D358" s="46" t="e">
        <f>#NAME?</f>
        <v>#NAME?</v>
      </c>
    </row>
    <row r="359" spans="1:4" x14ac:dyDescent="0.3">
      <c r="A359" s="48">
        <v>358205083574742</v>
      </c>
      <c r="B359" s="49">
        <v>45337.557696759257</v>
      </c>
      <c r="C359" s="46" t="s">
        <v>178</v>
      </c>
      <c r="D359" s="46" t="e">
        <f>#NAME?</f>
        <v>#NAME?</v>
      </c>
    </row>
    <row r="360" spans="1:4" x14ac:dyDescent="0.3">
      <c r="A360" s="48">
        <v>358205083574825</v>
      </c>
      <c r="B360" s="49">
        <v>45338.500127314815</v>
      </c>
      <c r="C360" s="46" t="s">
        <v>43</v>
      </c>
      <c r="D360" s="46" t="e">
        <f>#NAME?</f>
        <v>#NAME?</v>
      </c>
    </row>
    <row r="361" spans="1:4" x14ac:dyDescent="0.3">
      <c r="A361" s="48">
        <v>358205083574924</v>
      </c>
      <c r="B361" s="49">
        <v>45337.564895833333</v>
      </c>
      <c r="C361" s="46" t="s">
        <v>43</v>
      </c>
      <c r="D361" s="46" t="e">
        <f>#NAME?</f>
        <v>#NAME?</v>
      </c>
    </row>
    <row r="362" spans="1:4" x14ac:dyDescent="0.3">
      <c r="A362" s="48">
        <v>358205083574999</v>
      </c>
      <c r="B362" s="49">
        <v>45338.499849537038</v>
      </c>
      <c r="C362" s="46" t="s">
        <v>125</v>
      </c>
      <c r="D362" s="46" t="e">
        <f>#NAME?</f>
        <v>#NAME?</v>
      </c>
    </row>
    <row r="363" spans="1:4" x14ac:dyDescent="0.3">
      <c r="A363" s="48">
        <v>358205083575004</v>
      </c>
      <c r="B363" s="49">
        <v>45338.499895833331</v>
      </c>
      <c r="C363" s="46" t="s">
        <v>125</v>
      </c>
      <c r="D363" s="46" t="e">
        <f>#NAME?</f>
        <v>#NAME?</v>
      </c>
    </row>
    <row r="364" spans="1:4" x14ac:dyDescent="0.3">
      <c r="A364" s="48">
        <v>358205083575038</v>
      </c>
      <c r="B364" s="49">
        <v>45338.500243055554</v>
      </c>
      <c r="C364" s="46" t="s">
        <v>125</v>
      </c>
      <c r="D364" s="46" t="e">
        <f>#NAME?</f>
        <v>#NAME?</v>
      </c>
    </row>
    <row r="365" spans="1:4" x14ac:dyDescent="0.3">
      <c r="A365" s="48">
        <v>358205083575046</v>
      </c>
      <c r="B365" s="49">
        <v>45337.850844907407</v>
      </c>
      <c r="C365" s="46" t="s">
        <v>125</v>
      </c>
      <c r="D365" s="46" t="e">
        <f>#NAME?</f>
        <v>#NAME?</v>
      </c>
    </row>
    <row r="366" spans="1:4" x14ac:dyDescent="0.3">
      <c r="A366" s="48">
        <v>358205083586746</v>
      </c>
      <c r="B366" s="49">
        <v>45338.499976851854</v>
      </c>
      <c r="C366" s="46" t="s">
        <v>178</v>
      </c>
      <c r="D366" s="46" t="e">
        <f>#NAME?</f>
        <v>#NAME?</v>
      </c>
    </row>
    <row r="367" spans="1:4" x14ac:dyDescent="0.3">
      <c r="A367" s="48">
        <v>358205083586795</v>
      </c>
      <c r="B367" s="49">
        <v>45338.439884259256</v>
      </c>
      <c r="C367" s="46" t="s">
        <v>178</v>
      </c>
      <c r="D367" s="46" t="e">
        <f>#NAME?</f>
        <v>#NAME?</v>
      </c>
    </row>
    <row r="368" spans="1:4" x14ac:dyDescent="0.3">
      <c r="A368" s="48">
        <v>358205083586829</v>
      </c>
      <c r="B368" s="49">
        <v>45338.499814814815</v>
      </c>
      <c r="C368" s="46" t="s">
        <v>178</v>
      </c>
      <c r="D368" s="46" t="e">
        <f>#NAME?</f>
        <v>#NAME?</v>
      </c>
    </row>
    <row r="369" spans="1:4" x14ac:dyDescent="0.3">
      <c r="A369" s="48">
        <v>358205083587157</v>
      </c>
      <c r="B369" s="49">
        <v>45338.500196759262</v>
      </c>
      <c r="C369" s="46" t="s">
        <v>178</v>
      </c>
      <c r="D369" s="46" t="e">
        <f>#NAME?</f>
        <v>#NAME?</v>
      </c>
    </row>
    <row r="370" spans="1:4" x14ac:dyDescent="0.3">
      <c r="A370" s="48">
        <v>358205083587165</v>
      </c>
      <c r="B370" s="49">
        <v>45338.500081018516</v>
      </c>
      <c r="C370" s="46" t="s">
        <v>178</v>
      </c>
      <c r="D370" s="46" t="e">
        <f>#NAME?</f>
        <v>#NAME?</v>
      </c>
    </row>
    <row r="371" spans="1:4" x14ac:dyDescent="0.3">
      <c r="A371" s="48">
        <v>358205083587199</v>
      </c>
      <c r="B371" s="49">
        <v>45338.499895833331</v>
      </c>
      <c r="C371" s="46" t="s">
        <v>178</v>
      </c>
      <c r="D371" s="46" t="e">
        <f>#NAME?</f>
        <v>#NAME?</v>
      </c>
    </row>
    <row r="372" spans="1:4" x14ac:dyDescent="0.3">
      <c r="A372" s="48">
        <v>358205083587280</v>
      </c>
      <c r="B372" s="49">
        <v>45335.78125</v>
      </c>
      <c r="C372" s="46" t="s">
        <v>178</v>
      </c>
      <c r="D372" s="46" t="e">
        <f>#NAME?</f>
        <v>#NAME?</v>
      </c>
    </row>
    <row r="373" spans="1:4" x14ac:dyDescent="0.3">
      <c r="A373" s="48">
        <v>358205083587298</v>
      </c>
      <c r="B373" s="49">
        <v>45336.415451388886</v>
      </c>
      <c r="C373" s="46" t="s">
        <v>178</v>
      </c>
      <c r="D373" s="46" t="e">
        <f>#NAME?</f>
        <v>#NAME?</v>
      </c>
    </row>
    <row r="374" spans="1:4" x14ac:dyDescent="0.3">
      <c r="A374" s="48">
        <v>358205083587306</v>
      </c>
      <c r="B374" s="49">
        <v>45338.500104166669</v>
      </c>
      <c r="C374" s="46" t="s">
        <v>178</v>
      </c>
      <c r="D374" s="46" t="e">
        <f>#NAME?</f>
        <v>#NAME?</v>
      </c>
    </row>
    <row r="375" spans="1:4" x14ac:dyDescent="0.3">
      <c r="A375" s="48">
        <v>358205083587454</v>
      </c>
      <c r="B375" s="49">
        <v>45336.584930555553</v>
      </c>
      <c r="C375" s="46" t="s">
        <v>178</v>
      </c>
      <c r="D375" s="46" t="e">
        <f>#NAME?</f>
        <v>#NAME?</v>
      </c>
    </row>
    <row r="376" spans="1:4" x14ac:dyDescent="0.3">
      <c r="A376" s="48">
        <v>358205083587462</v>
      </c>
      <c r="B376" s="49">
        <v>45338.495949074073</v>
      </c>
      <c r="C376" s="46" t="s">
        <v>178</v>
      </c>
      <c r="D376" s="46" t="e">
        <f>#NAME?</f>
        <v>#NAME?</v>
      </c>
    </row>
    <row r="377" spans="1:4" x14ac:dyDescent="0.3">
      <c r="A377" s="48">
        <v>358205083587702</v>
      </c>
      <c r="B377" s="49">
        <v>45338.5002662037</v>
      </c>
      <c r="C377" s="46" t="s">
        <v>178</v>
      </c>
      <c r="D377" s="46" t="e">
        <f>#NAME?</f>
        <v>#NAME?</v>
      </c>
    </row>
    <row r="378" spans="1:4" x14ac:dyDescent="0.3">
      <c r="A378" s="48">
        <v>358205083588981</v>
      </c>
      <c r="B378" s="49">
        <v>45338.499861111108</v>
      </c>
      <c r="C378" s="46" t="s">
        <v>149</v>
      </c>
      <c r="D378" s="46" t="e">
        <f>#NAME?</f>
        <v>#NAME?</v>
      </c>
    </row>
    <row r="379" spans="1:4" x14ac:dyDescent="0.3">
      <c r="A379" s="48">
        <v>358205083589005</v>
      </c>
      <c r="B379" s="49">
        <v>45338.500138888892</v>
      </c>
      <c r="C379" s="46" t="s">
        <v>149</v>
      </c>
      <c r="D379" s="46" t="e">
        <f>#NAME?</f>
        <v>#NAME?</v>
      </c>
    </row>
    <row r="380" spans="1:4" x14ac:dyDescent="0.3">
      <c r="A380" s="48">
        <v>358205083589021</v>
      </c>
      <c r="B380" s="49">
        <v>45338.5</v>
      </c>
      <c r="C380" s="46" t="s">
        <v>149</v>
      </c>
      <c r="D380" s="46" t="e">
        <f>#NAME?</f>
        <v>#NAME?</v>
      </c>
    </row>
    <row r="381" spans="1:4" x14ac:dyDescent="0.3">
      <c r="A381" s="48">
        <v>358205083589203</v>
      </c>
      <c r="B381" s="49">
        <v>45338.499861111108</v>
      </c>
      <c r="C381" s="46" t="s">
        <v>149</v>
      </c>
      <c r="D381" s="46" t="e">
        <f>#NAME?</f>
        <v>#NAME?</v>
      </c>
    </row>
    <row r="382" spans="1:4" x14ac:dyDescent="0.3">
      <c r="A382" s="48">
        <v>358205084158644</v>
      </c>
      <c r="B382" s="49">
        <v>45336.450995370367</v>
      </c>
      <c r="C382" s="46" t="s">
        <v>178</v>
      </c>
      <c r="D382" s="46" t="e">
        <f>#NAME?</f>
        <v>#NAME?</v>
      </c>
    </row>
    <row r="383" spans="1:4" x14ac:dyDescent="0.3">
      <c r="A383" s="48">
        <v>358205084158651</v>
      </c>
      <c r="B383" s="49">
        <v>45338.499872685185</v>
      </c>
      <c r="C383" s="46" t="s">
        <v>178</v>
      </c>
      <c r="D383" s="46" t="e">
        <f>#NAME?</f>
        <v>#NAME?</v>
      </c>
    </row>
    <row r="384" spans="1:4" x14ac:dyDescent="0.3">
      <c r="A384" s="48">
        <v>358205084158735</v>
      </c>
      <c r="B384" s="49">
        <v>45338.499872685185</v>
      </c>
      <c r="C384" s="46" t="s">
        <v>178</v>
      </c>
      <c r="D384" s="46" t="e">
        <f>#NAME?</f>
        <v>#NAME?</v>
      </c>
    </row>
    <row r="385" spans="1:4" x14ac:dyDescent="0.3">
      <c r="A385" s="48">
        <v>358205084158859</v>
      </c>
      <c r="B385" s="49">
        <v>45338.484259259261</v>
      </c>
      <c r="C385" s="46" t="s">
        <v>178</v>
      </c>
      <c r="D385" s="46" t="e">
        <f>#NAME?</f>
        <v>#NAME?</v>
      </c>
    </row>
    <row r="386" spans="1:4" x14ac:dyDescent="0.3">
      <c r="A386" s="48">
        <v>358205084158867</v>
      </c>
      <c r="B386" s="49">
        <v>45338.5002662037</v>
      </c>
      <c r="C386" s="46" t="s">
        <v>178</v>
      </c>
      <c r="D386" s="46" t="e">
        <f>#NAME?</f>
        <v>#NAME?</v>
      </c>
    </row>
    <row r="387" spans="1:4" x14ac:dyDescent="0.3">
      <c r="A387" s="48">
        <v>358205084159170</v>
      </c>
      <c r="B387" s="49">
        <v>45338.500162037039</v>
      </c>
      <c r="C387" s="46" t="s">
        <v>178</v>
      </c>
      <c r="D387" s="46" t="e">
        <f>#NAME?</f>
        <v>#NAME?</v>
      </c>
    </row>
    <row r="388" spans="1:4" x14ac:dyDescent="0.3">
      <c r="A388" s="48">
        <v>358205084159238</v>
      </c>
      <c r="B388" s="49">
        <v>45336.270462962966</v>
      </c>
      <c r="C388" s="46" t="s">
        <v>178</v>
      </c>
      <c r="D388" s="46" t="e">
        <f>#NAME?</f>
        <v>#NAME?</v>
      </c>
    </row>
    <row r="389" spans="1:4" x14ac:dyDescent="0.3">
      <c r="A389" s="48">
        <v>358205084159261</v>
      </c>
      <c r="B389" s="49">
        <v>45338.500023148146</v>
      </c>
      <c r="C389" s="46" t="s">
        <v>178</v>
      </c>
      <c r="D389" s="46" t="e">
        <f>#NAME?</f>
        <v>#NAME?</v>
      </c>
    </row>
    <row r="390" spans="1:4" x14ac:dyDescent="0.3">
      <c r="A390" s="48">
        <v>358205084159568</v>
      </c>
      <c r="B390" s="49">
        <v>45338.434918981482</v>
      </c>
      <c r="C390" s="46" t="s">
        <v>178</v>
      </c>
      <c r="D390" s="46" t="e">
        <f>#NAME?</f>
        <v>#NAME?</v>
      </c>
    </row>
    <row r="391" spans="1:4" x14ac:dyDescent="0.3">
      <c r="A391" s="48">
        <v>358205084159642</v>
      </c>
      <c r="B391" s="49">
        <v>45338.499872685185</v>
      </c>
      <c r="C391" s="46" t="s">
        <v>178</v>
      </c>
      <c r="D391" s="46" t="e">
        <f>#NAME?</f>
        <v>#NAME?</v>
      </c>
    </row>
    <row r="392" spans="1:4" x14ac:dyDescent="0.3">
      <c r="A392" s="48">
        <v>358205084159766</v>
      </c>
      <c r="B392" s="49">
        <v>45338.5</v>
      </c>
      <c r="C392" s="46" t="s">
        <v>178</v>
      </c>
      <c r="D392" s="46" t="e">
        <f>#NAME?</f>
        <v>#NAME?</v>
      </c>
    </row>
    <row r="393" spans="1:4" x14ac:dyDescent="0.3">
      <c r="A393" s="48">
        <v>358205084159873</v>
      </c>
      <c r="B393" s="49">
        <v>45336.186759259261</v>
      </c>
      <c r="C393" s="46" t="s">
        <v>178</v>
      </c>
      <c r="D393" s="46" t="e">
        <f>#NAME?</f>
        <v>#NAME?</v>
      </c>
    </row>
    <row r="394" spans="1:4" x14ac:dyDescent="0.3">
      <c r="A394" s="48">
        <v>358205084159899</v>
      </c>
      <c r="B394" s="49">
        <v>45338.5</v>
      </c>
      <c r="C394" s="46" t="s">
        <v>178</v>
      </c>
      <c r="D394" s="46" t="e">
        <f>#NAME?</f>
        <v>#NAME?</v>
      </c>
    </row>
    <row r="395" spans="1:4" x14ac:dyDescent="0.3">
      <c r="A395" s="48">
        <v>358205084159915</v>
      </c>
      <c r="B395" s="49">
        <v>45336.333379629628</v>
      </c>
      <c r="C395" s="46" t="s">
        <v>178</v>
      </c>
      <c r="D395" s="46" t="e">
        <f>#NAME?</f>
        <v>#NAME?</v>
      </c>
    </row>
    <row r="396" spans="1:4" x14ac:dyDescent="0.3">
      <c r="A396" s="48">
        <v>358205084170805</v>
      </c>
      <c r="B396" s="49">
        <v>45338.429259259261</v>
      </c>
      <c r="C396" s="46" t="s">
        <v>178</v>
      </c>
      <c r="D396" s="46" t="e">
        <f>#NAME?</f>
        <v>#NAME?</v>
      </c>
    </row>
    <row r="397" spans="1:4" x14ac:dyDescent="0.3">
      <c r="A397" s="48">
        <v>358205084170870</v>
      </c>
      <c r="B397" s="49">
        <v>45338.479594907411</v>
      </c>
      <c r="C397" s="46" t="s">
        <v>178</v>
      </c>
      <c r="D397" s="46" t="e">
        <f>#NAME?</f>
        <v>#NAME?</v>
      </c>
    </row>
    <row r="398" spans="1:4" x14ac:dyDescent="0.3">
      <c r="A398" s="48">
        <v>358205084170888</v>
      </c>
      <c r="B398" s="49">
        <v>45336.317997685182</v>
      </c>
      <c r="C398" s="46" t="s">
        <v>178</v>
      </c>
      <c r="D398" s="46" t="e">
        <f>#NAME?</f>
        <v>#NAME?</v>
      </c>
    </row>
    <row r="399" spans="1:4" x14ac:dyDescent="0.3">
      <c r="A399" s="48">
        <v>358205084170920</v>
      </c>
      <c r="B399" s="49">
        <v>45337.305381944447</v>
      </c>
      <c r="C399" s="46" t="s">
        <v>178</v>
      </c>
      <c r="D399" s="46" t="e">
        <f>#NAME?</f>
        <v>#NAME?</v>
      </c>
    </row>
    <row r="400" spans="1:4" x14ac:dyDescent="0.3">
      <c r="A400" s="48">
        <v>358205084170953</v>
      </c>
      <c r="B400" s="49">
        <v>45338.500034722223</v>
      </c>
      <c r="C400" s="46" t="s">
        <v>178</v>
      </c>
      <c r="D400" s="46" t="e">
        <f>#NAME?</f>
        <v>#NAME?</v>
      </c>
    </row>
    <row r="401" spans="1:4" x14ac:dyDescent="0.3">
      <c r="A401" s="48">
        <v>358205084171134</v>
      </c>
      <c r="B401" s="49">
        <v>45338.007268518515</v>
      </c>
      <c r="C401" s="46" t="s">
        <v>178</v>
      </c>
      <c r="D401" s="46" t="e">
        <f>#NAME?</f>
        <v>#NAME?</v>
      </c>
    </row>
    <row r="402" spans="1:4" x14ac:dyDescent="0.3">
      <c r="A402" s="48">
        <v>358205084171332</v>
      </c>
      <c r="B402" s="49">
        <v>45337.347743055558</v>
      </c>
      <c r="C402" s="46" t="s">
        <v>178</v>
      </c>
      <c r="D402" s="46" t="e">
        <f>#NAME?</f>
        <v>#NAME?</v>
      </c>
    </row>
    <row r="403" spans="1:4" x14ac:dyDescent="0.3">
      <c r="A403" s="48">
        <v>358205084171365</v>
      </c>
      <c r="B403" s="49">
        <v>45337.716284722221</v>
      </c>
      <c r="C403" s="46" t="s">
        <v>178</v>
      </c>
      <c r="D403" s="46" t="e">
        <f>#NAME?</f>
        <v>#NAME?</v>
      </c>
    </row>
    <row r="404" spans="1:4" x14ac:dyDescent="0.3">
      <c r="A404" s="48">
        <v>358205084518086</v>
      </c>
      <c r="B404" s="49">
        <v>45338.4999537037</v>
      </c>
      <c r="C404" s="46" t="s">
        <v>178</v>
      </c>
      <c r="D404" s="46" t="e">
        <f>#NAME?</f>
        <v>#NAME?</v>
      </c>
    </row>
    <row r="405" spans="1:4" x14ac:dyDescent="0.3">
      <c r="A405" s="48">
        <v>358205084519944</v>
      </c>
      <c r="B405" s="49">
        <v>45337.506203703706</v>
      </c>
      <c r="C405" s="46" t="s">
        <v>178</v>
      </c>
      <c r="D405" s="46" t="e">
        <f>#NAME?</f>
        <v>#NAME?</v>
      </c>
    </row>
    <row r="406" spans="1:4" x14ac:dyDescent="0.3">
      <c r="A406" s="48">
        <v>358205084520256</v>
      </c>
      <c r="B406" s="49">
        <v>45338.500208333331</v>
      </c>
      <c r="C406" s="46" t="s">
        <v>178</v>
      </c>
      <c r="D406" s="46" t="e">
        <f>#NAME?</f>
        <v>#NAME?</v>
      </c>
    </row>
    <row r="407" spans="1:4" x14ac:dyDescent="0.3">
      <c r="A407" s="48">
        <v>358205084524928</v>
      </c>
      <c r="B407" s="49">
        <v>45338.128784722219</v>
      </c>
      <c r="C407" s="46" t="s">
        <v>178</v>
      </c>
      <c r="D407" s="46" t="e">
        <f>#NAME?</f>
        <v>#NAME?</v>
      </c>
    </row>
    <row r="408" spans="1:4" x14ac:dyDescent="0.3">
      <c r="A408" s="48">
        <v>358205084525099</v>
      </c>
      <c r="B408" s="49">
        <v>45338.500034722223</v>
      </c>
      <c r="C408" s="46" t="s">
        <v>178</v>
      </c>
      <c r="D408" s="46" t="e">
        <f>#NAME?</f>
        <v>#NAME?</v>
      </c>
    </row>
    <row r="409" spans="1:4" x14ac:dyDescent="0.3">
      <c r="A409" s="48">
        <v>358205084525347</v>
      </c>
      <c r="B409" s="49">
        <v>45338.499976851854</v>
      </c>
      <c r="C409" s="46" t="s">
        <v>178</v>
      </c>
      <c r="D409" s="46" t="e">
        <f>#NAME?</f>
        <v>#NAME?</v>
      </c>
    </row>
    <row r="410" spans="1:4" x14ac:dyDescent="0.3">
      <c r="A410" s="48">
        <v>358205084539108</v>
      </c>
      <c r="B410" s="49">
        <v>45338.499768518515</v>
      </c>
      <c r="C410" s="46" t="s">
        <v>178</v>
      </c>
      <c r="D410" s="46" t="e">
        <f>#NAME?</f>
        <v>#NAME?</v>
      </c>
    </row>
    <row r="411" spans="1:4" x14ac:dyDescent="0.3">
      <c r="A411" s="48">
        <v>358205084539553</v>
      </c>
      <c r="B411" s="49">
        <v>45338.499895833331</v>
      </c>
      <c r="C411" s="46" t="s">
        <v>178</v>
      </c>
      <c r="D411" s="46" t="e">
        <f>#NAME?</f>
        <v>#NAME?</v>
      </c>
    </row>
    <row r="412" spans="1:4" x14ac:dyDescent="0.3">
      <c r="A412" s="48">
        <v>358205086905109</v>
      </c>
      <c r="B412" s="49">
        <v>45338.499803240738</v>
      </c>
      <c r="C412" s="46" t="s">
        <v>43</v>
      </c>
      <c r="D412" s="46" t="e">
        <f>#NAME?</f>
        <v>#NAME?</v>
      </c>
    </row>
    <row r="413" spans="1:4" x14ac:dyDescent="0.3">
      <c r="A413" s="48">
        <v>358205086905323</v>
      </c>
      <c r="B413" s="49">
        <v>45337.462523148148</v>
      </c>
      <c r="C413" s="46" t="s">
        <v>43</v>
      </c>
      <c r="D413" s="46" t="e">
        <f>#NAME?</f>
        <v>#NAME?</v>
      </c>
    </row>
    <row r="414" spans="1:4" x14ac:dyDescent="0.3">
      <c r="A414" s="48">
        <v>358205086905679</v>
      </c>
      <c r="B414" s="49">
        <v>45338.500300925924</v>
      </c>
      <c r="C414" s="46" t="s">
        <v>43</v>
      </c>
      <c r="D414" s="46" t="e">
        <f>#NAME?</f>
        <v>#NAME?</v>
      </c>
    </row>
    <row r="415" spans="1:4" x14ac:dyDescent="0.3">
      <c r="A415" s="48">
        <v>358205086906644</v>
      </c>
      <c r="B415" s="49">
        <v>45338.500092592592</v>
      </c>
      <c r="C415" s="46" t="s">
        <v>43</v>
      </c>
      <c r="D415" s="46" t="e">
        <f>#NAME?</f>
        <v>#NAME?</v>
      </c>
    </row>
    <row r="416" spans="1:4" x14ac:dyDescent="0.3">
      <c r="A416" s="48">
        <v>358205086906677</v>
      </c>
      <c r="B416" s="49">
        <v>45337.550347222219</v>
      </c>
      <c r="C416" s="46" t="s">
        <v>43</v>
      </c>
      <c r="D416" s="46" t="e">
        <f>#NAME?</f>
        <v>#NAME?</v>
      </c>
    </row>
    <row r="417" spans="1:4" x14ac:dyDescent="0.3">
      <c r="A417" s="48">
        <v>358205086906719</v>
      </c>
      <c r="B417" s="49">
        <v>45338.493796296294</v>
      </c>
      <c r="C417" s="46" t="s">
        <v>43</v>
      </c>
      <c r="D417" s="46" t="e">
        <f>#NAME?</f>
        <v>#NAME?</v>
      </c>
    </row>
    <row r="418" spans="1:4" x14ac:dyDescent="0.3">
      <c r="A418" s="48">
        <v>358205086906727</v>
      </c>
      <c r="B418" s="49">
        <v>45338.499930555554</v>
      </c>
      <c r="C418" s="46" t="s">
        <v>43</v>
      </c>
      <c r="D418" s="46" t="e">
        <f>#NAME?</f>
        <v>#NAME?</v>
      </c>
    </row>
    <row r="419" spans="1:4" x14ac:dyDescent="0.3">
      <c r="A419" s="48">
        <v>358205086908269</v>
      </c>
      <c r="B419" s="49">
        <v>45338.5000462963</v>
      </c>
      <c r="C419" s="46" t="s">
        <v>43</v>
      </c>
      <c r="D419" s="46" t="e">
        <f>#NAME?</f>
        <v>#NAME?</v>
      </c>
    </row>
    <row r="420" spans="1:4" x14ac:dyDescent="0.3">
      <c r="A420" s="48">
        <v>358205086908335</v>
      </c>
      <c r="B420" s="49">
        <v>45338.499907407408</v>
      </c>
      <c r="C420" s="46" t="s">
        <v>43</v>
      </c>
      <c r="D420" s="46" t="e">
        <f>#NAME?</f>
        <v>#NAME?</v>
      </c>
    </row>
    <row r="421" spans="1:4" x14ac:dyDescent="0.3">
      <c r="A421" s="48">
        <v>358205086908400</v>
      </c>
      <c r="B421" s="49">
        <v>45337.425717592596</v>
      </c>
      <c r="C421" s="46" t="s">
        <v>43</v>
      </c>
      <c r="D421" s="46" t="e">
        <f>#NAME?</f>
        <v>#NAME?</v>
      </c>
    </row>
    <row r="422" spans="1:4" x14ac:dyDescent="0.3">
      <c r="A422" s="48">
        <v>358205086908608</v>
      </c>
      <c r="B422" s="49">
        <v>45338.499930555554</v>
      </c>
      <c r="C422" s="46" t="s">
        <v>43</v>
      </c>
      <c r="D422" s="46" t="e">
        <f>#NAME?</f>
        <v>#NAME?</v>
      </c>
    </row>
    <row r="423" spans="1:4" x14ac:dyDescent="0.3">
      <c r="A423" s="48">
        <v>358205086908889</v>
      </c>
      <c r="B423" s="49">
        <v>45338.499907407408</v>
      </c>
      <c r="C423" s="46" t="s">
        <v>43</v>
      </c>
      <c r="D423" s="46" t="e">
        <f>#NAME?</f>
        <v>#NAME?</v>
      </c>
    </row>
    <row r="424" spans="1:4" x14ac:dyDescent="0.3">
      <c r="A424" s="48">
        <v>358205086908996</v>
      </c>
      <c r="B424" s="49">
        <v>45338.499722222223</v>
      </c>
      <c r="C424" s="46" t="s">
        <v>43</v>
      </c>
      <c r="D424" s="46" t="e">
        <f>#NAME?</f>
        <v>#NAME?</v>
      </c>
    </row>
    <row r="425" spans="1:4" x14ac:dyDescent="0.3">
      <c r="A425" s="48">
        <v>358205086909010</v>
      </c>
      <c r="B425" s="49">
        <v>45338.497349537036</v>
      </c>
      <c r="C425" s="46" t="s">
        <v>43</v>
      </c>
      <c r="D425" s="46" t="e">
        <f>#NAME?</f>
        <v>#NAME?</v>
      </c>
    </row>
    <row r="426" spans="1:4" x14ac:dyDescent="0.3">
      <c r="A426" s="48">
        <v>358205086909093</v>
      </c>
      <c r="B426" s="49">
        <v>45338.500104166669</v>
      </c>
      <c r="C426" s="46" t="s">
        <v>43</v>
      </c>
      <c r="D426" s="46" t="e">
        <f>#NAME?</f>
        <v>#NAME?</v>
      </c>
    </row>
    <row r="427" spans="1:4" x14ac:dyDescent="0.3">
      <c r="A427" s="48">
        <v>358205086909663</v>
      </c>
      <c r="B427" s="49">
        <v>45338.500243055554</v>
      </c>
      <c r="C427" s="46" t="s">
        <v>43</v>
      </c>
      <c r="D427" s="46" t="e">
        <f>#NAME?</f>
        <v>#NAME?</v>
      </c>
    </row>
    <row r="428" spans="1:4" x14ac:dyDescent="0.3">
      <c r="A428" s="48">
        <v>358205086909960</v>
      </c>
      <c r="B428" s="49">
        <v>45338.492384259262</v>
      </c>
      <c r="C428" s="46" t="s">
        <v>43</v>
      </c>
      <c r="D428" s="46" t="e">
        <f>#NAME?</f>
        <v>#NAME?</v>
      </c>
    </row>
    <row r="429" spans="1:4" x14ac:dyDescent="0.3">
      <c r="A429" s="48">
        <v>358205086910869</v>
      </c>
      <c r="B429" s="49">
        <v>45338.499664351853</v>
      </c>
      <c r="C429" s="46" t="s">
        <v>43</v>
      </c>
      <c r="D429" s="46" t="e">
        <f>#NAME?</f>
        <v>#NAME?</v>
      </c>
    </row>
    <row r="430" spans="1:4" x14ac:dyDescent="0.3">
      <c r="A430" s="48">
        <v>358205086911081</v>
      </c>
      <c r="B430" s="49">
        <v>45338.499641203707</v>
      </c>
      <c r="C430" s="46" t="s">
        <v>43</v>
      </c>
      <c r="D430" s="46" t="e">
        <f>#NAME?</f>
        <v>#NAME?</v>
      </c>
    </row>
    <row r="431" spans="1:4" x14ac:dyDescent="0.3">
      <c r="A431" s="48">
        <v>358205086911214</v>
      </c>
      <c r="B431" s="49">
        <v>45338.499942129631</v>
      </c>
      <c r="C431" s="46" t="s">
        <v>43</v>
      </c>
      <c r="D431" s="46" t="e">
        <f>#NAME?</f>
        <v>#NAME?</v>
      </c>
    </row>
    <row r="432" spans="1:4" x14ac:dyDescent="0.3">
      <c r="A432" s="48">
        <v>358205086911230</v>
      </c>
      <c r="B432" s="49">
        <v>45338.500138888892</v>
      </c>
      <c r="C432" s="46" t="s">
        <v>43</v>
      </c>
      <c r="D432" s="46" t="e">
        <f>#NAME?</f>
        <v>#NAME?</v>
      </c>
    </row>
    <row r="433" spans="1:4" x14ac:dyDescent="0.3">
      <c r="A433" s="48">
        <v>358205086911362</v>
      </c>
      <c r="B433" s="49">
        <v>45338.497615740744</v>
      </c>
      <c r="C433" s="46" t="s">
        <v>43</v>
      </c>
      <c r="D433" s="46" t="e">
        <f>#NAME?</f>
        <v>#NAME?</v>
      </c>
    </row>
    <row r="434" spans="1:4" x14ac:dyDescent="0.3">
      <c r="A434" s="48">
        <v>358205086911370</v>
      </c>
      <c r="B434" s="49">
        <v>45338.369699074072</v>
      </c>
      <c r="C434" s="46" t="s">
        <v>43</v>
      </c>
      <c r="D434" s="46" t="e">
        <f>#NAME?</f>
        <v>#NAME?</v>
      </c>
    </row>
    <row r="435" spans="1:4" x14ac:dyDescent="0.3">
      <c r="A435" s="48">
        <v>358205086911537</v>
      </c>
      <c r="B435" s="49">
        <v>45338.499664351853</v>
      </c>
      <c r="C435" s="46" t="s">
        <v>43</v>
      </c>
      <c r="D435" s="46" t="e">
        <f>#NAME?</f>
        <v>#NAME?</v>
      </c>
    </row>
    <row r="436" spans="1:4" x14ac:dyDescent="0.3">
      <c r="A436" s="48">
        <v>358205086911628</v>
      </c>
      <c r="B436" s="49">
        <v>45338.500219907408</v>
      </c>
      <c r="C436" s="46" t="s">
        <v>43</v>
      </c>
      <c r="D436" s="46" t="e">
        <f>#NAME?</f>
        <v>#NAME?</v>
      </c>
    </row>
    <row r="437" spans="1:4" x14ac:dyDescent="0.3">
      <c r="A437" s="48">
        <v>358205086911743</v>
      </c>
      <c r="B437" s="49">
        <v>45338.499918981484</v>
      </c>
      <c r="C437" s="46" t="s">
        <v>43</v>
      </c>
      <c r="D437" s="46" t="e">
        <f>#NAME?</f>
        <v>#NAME?</v>
      </c>
    </row>
    <row r="438" spans="1:4" x14ac:dyDescent="0.3">
      <c r="A438" s="48">
        <v>358205086911784</v>
      </c>
      <c r="B438" s="49">
        <v>45338.500092592592</v>
      </c>
      <c r="C438" s="46" t="s">
        <v>43</v>
      </c>
      <c r="D438" s="46" t="e">
        <f>#NAME?</f>
        <v>#NAME?</v>
      </c>
    </row>
    <row r="439" spans="1:4" x14ac:dyDescent="0.3">
      <c r="A439" s="48">
        <v>358205086911842</v>
      </c>
      <c r="B439" s="49">
        <v>45338.500081018516</v>
      </c>
      <c r="C439" s="46" t="s">
        <v>43</v>
      </c>
      <c r="D439" s="46" t="e">
        <f>#NAME?</f>
        <v>#NAME?</v>
      </c>
    </row>
    <row r="440" spans="1:4" x14ac:dyDescent="0.3">
      <c r="A440" s="48">
        <v>358205086911941</v>
      </c>
      <c r="B440" s="49">
        <v>45338.5000462963</v>
      </c>
      <c r="C440" s="46" t="s">
        <v>43</v>
      </c>
      <c r="D440" s="46" t="e">
        <f>#NAME?</f>
        <v>#NAME?</v>
      </c>
    </row>
    <row r="441" spans="1:4" x14ac:dyDescent="0.3">
      <c r="A441" s="48">
        <v>358205086911966</v>
      </c>
      <c r="B441" s="49">
        <v>45338.500081018516</v>
      </c>
      <c r="C441" s="46" t="s">
        <v>43</v>
      </c>
      <c r="D441" s="46" t="e">
        <f>#NAME?</f>
        <v>#NAME?</v>
      </c>
    </row>
    <row r="442" spans="1:4" x14ac:dyDescent="0.3">
      <c r="A442" s="48">
        <v>358205086912287</v>
      </c>
      <c r="B442" s="49">
        <v>45338.5003125</v>
      </c>
      <c r="C442" s="46" t="s">
        <v>43</v>
      </c>
      <c r="D442" s="46" t="e">
        <f>#NAME?</f>
        <v>#NAME?</v>
      </c>
    </row>
    <row r="443" spans="1:4" x14ac:dyDescent="0.3">
      <c r="A443" s="48">
        <v>358205086912477</v>
      </c>
      <c r="B443" s="49">
        <v>45338.500034722223</v>
      </c>
      <c r="C443" s="46" t="s">
        <v>43</v>
      </c>
      <c r="D443" s="46" t="e">
        <f>#NAME?</f>
        <v>#NAME?</v>
      </c>
    </row>
    <row r="444" spans="1:4" x14ac:dyDescent="0.3">
      <c r="A444" s="48">
        <v>358205086912535</v>
      </c>
      <c r="B444" s="49">
        <v>45338.499907407408</v>
      </c>
      <c r="C444" s="46" t="s">
        <v>43</v>
      </c>
      <c r="D444" s="46" t="e">
        <f>#NAME?</f>
        <v>#NAME?</v>
      </c>
    </row>
    <row r="445" spans="1:4" x14ac:dyDescent="0.3">
      <c r="A445" s="48">
        <v>358205086912691</v>
      </c>
      <c r="B445" s="49">
        <v>45338.500092592592</v>
      </c>
      <c r="C445" s="46" t="s">
        <v>43</v>
      </c>
      <c r="D445" s="46" t="e">
        <f>#NAME?</f>
        <v>#NAME?</v>
      </c>
    </row>
    <row r="446" spans="1:4" x14ac:dyDescent="0.3">
      <c r="A446" s="48">
        <v>358205086913087</v>
      </c>
      <c r="B446" s="49">
        <v>45338.500254629631</v>
      </c>
      <c r="C446" s="46" t="s">
        <v>43</v>
      </c>
      <c r="D446" s="46" t="e">
        <f>#NAME?</f>
        <v>#NAME?</v>
      </c>
    </row>
    <row r="447" spans="1:4" x14ac:dyDescent="0.3">
      <c r="A447" s="48">
        <v>358205086913806</v>
      </c>
      <c r="B447" s="49">
        <v>45338.500081018516</v>
      </c>
      <c r="C447" s="46" t="s">
        <v>43</v>
      </c>
      <c r="D447" s="46" t="e">
        <f>#NAME?</f>
        <v>#NAME?</v>
      </c>
    </row>
    <row r="448" spans="1:4" x14ac:dyDescent="0.3">
      <c r="A448" s="48">
        <v>358205080898169</v>
      </c>
      <c r="B448" s="49">
        <v>45338.499895833331</v>
      </c>
      <c r="C448" s="46" t="s">
        <v>149</v>
      </c>
      <c r="D448" s="46" t="e">
        <f>#NAME?</f>
        <v>#NAME?</v>
      </c>
    </row>
    <row r="449" spans="1:4" x14ac:dyDescent="0.3">
      <c r="A449" s="48">
        <v>358205080898847</v>
      </c>
      <c r="B449" s="49">
        <v>45338.500300925924</v>
      </c>
      <c r="C449" s="46" t="s">
        <v>149</v>
      </c>
      <c r="D449" s="46" t="e">
        <f>#NAME?</f>
        <v>#NAME?</v>
      </c>
    </row>
    <row r="450" spans="1:4" x14ac:dyDescent="0.3">
      <c r="A450" s="48">
        <v>358205080898854</v>
      </c>
      <c r="B450" s="49">
        <v>45338.49962962963</v>
      </c>
      <c r="C450" s="46" t="s">
        <v>149</v>
      </c>
      <c r="D450" s="46" t="e">
        <f>#NAME?</f>
        <v>#NAME?</v>
      </c>
    </row>
    <row r="451" spans="1:4" x14ac:dyDescent="0.3">
      <c r="A451" s="48">
        <v>358205080899977</v>
      </c>
      <c r="B451" s="49">
        <v>45338.369606481479</v>
      </c>
      <c r="C451" s="46" t="s">
        <v>222</v>
      </c>
      <c r="D451" s="46" t="e">
        <f>#NAME?</f>
        <v>#NAME?</v>
      </c>
    </row>
    <row r="452" spans="1:4" x14ac:dyDescent="0.3">
      <c r="A452" s="48">
        <v>358205080900031</v>
      </c>
      <c r="B452" s="49">
        <v>45336.321898148148</v>
      </c>
      <c r="C452" s="46" t="s">
        <v>222</v>
      </c>
      <c r="D452" s="46" t="e">
        <f>#NAME?</f>
        <v>#NAME?</v>
      </c>
    </row>
    <row r="453" spans="1:4" x14ac:dyDescent="0.3">
      <c r="A453" s="48">
        <v>358205080899811</v>
      </c>
      <c r="B453" s="49">
        <v>45338.499652777777</v>
      </c>
      <c r="C453" s="46" t="s">
        <v>37</v>
      </c>
      <c r="D453" s="46" t="e">
        <f>#NAME?</f>
        <v>#NAME?</v>
      </c>
    </row>
    <row r="454" spans="1:4" x14ac:dyDescent="0.3">
      <c r="A454" s="48">
        <v>358205080903761</v>
      </c>
      <c r="B454" s="49">
        <v>45337.482175925928</v>
      </c>
      <c r="C454" s="46" t="s">
        <v>174</v>
      </c>
      <c r="D454" s="46" t="e">
        <f>#NAME?</f>
        <v>#NAME?</v>
      </c>
    </row>
    <row r="455" spans="1:4" x14ac:dyDescent="0.3">
      <c r="A455" s="48">
        <v>358205080899399</v>
      </c>
      <c r="B455" s="49">
        <v>45338.23814814815</v>
      </c>
      <c r="C455" s="46" t="s">
        <v>76</v>
      </c>
      <c r="D455" s="46" t="e">
        <f>#NAME?</f>
        <v>#NAME?</v>
      </c>
    </row>
    <row r="456" spans="1:4" x14ac:dyDescent="0.3">
      <c r="A456" s="48">
        <v>358205084522146</v>
      </c>
      <c r="B456" s="49">
        <v>45338.4999537037</v>
      </c>
      <c r="C456" s="46" t="s">
        <v>167</v>
      </c>
      <c r="D456" s="46" t="e">
        <f>#NAME?</f>
        <v>#NAME?</v>
      </c>
    </row>
    <row r="457" spans="1:4" x14ac:dyDescent="0.3">
      <c r="A457" s="48">
        <v>358205080902409</v>
      </c>
      <c r="B457" s="49">
        <v>45338.499699074076</v>
      </c>
      <c r="C457" s="46" t="s">
        <v>144</v>
      </c>
      <c r="D457" s="46" t="e">
        <f>#NAME?</f>
        <v>#NAME?</v>
      </c>
    </row>
    <row r="458" spans="1:4" x14ac:dyDescent="0.3">
      <c r="A458" s="48">
        <v>358205080616165</v>
      </c>
      <c r="B458" s="49">
        <v>45338.499791666669</v>
      </c>
      <c r="C458" s="46" t="s">
        <v>174</v>
      </c>
      <c r="D458" s="46" t="e">
        <f>#NAME?</f>
        <v>#NAME?</v>
      </c>
    </row>
    <row r="459" spans="1:4" x14ac:dyDescent="0.3">
      <c r="A459" s="48">
        <v>358205080616199</v>
      </c>
      <c r="B459" s="49">
        <v>45338.423136574071</v>
      </c>
      <c r="C459" s="46" t="s">
        <v>174</v>
      </c>
      <c r="D459" s="46" t="e">
        <f>#NAME?</f>
        <v>#NAME?</v>
      </c>
    </row>
    <row r="460" spans="1:4" x14ac:dyDescent="0.3">
      <c r="A460" s="48">
        <v>358205080616256</v>
      </c>
      <c r="B460" s="49">
        <v>45338.457129629627</v>
      </c>
      <c r="C460" s="46" t="s">
        <v>174</v>
      </c>
      <c r="D460" s="46" t="e">
        <f>#NAME?</f>
        <v>#NAME?</v>
      </c>
    </row>
    <row r="461" spans="1:4" x14ac:dyDescent="0.3">
      <c r="A461" s="48">
        <v>358205080845319</v>
      </c>
      <c r="B461" s="49">
        <v>45338.35665509259</v>
      </c>
      <c r="C461" s="46" t="s">
        <v>37</v>
      </c>
      <c r="D461" s="46" t="e">
        <f>#NAME?</f>
        <v>#NAME?</v>
      </c>
    </row>
    <row r="462" spans="1:4" x14ac:dyDescent="0.3">
      <c r="A462" s="48">
        <v>358205080845723</v>
      </c>
      <c r="B462" s="49">
        <v>45338.499988425923</v>
      </c>
      <c r="C462" s="46" t="s">
        <v>212</v>
      </c>
      <c r="D462" s="46" t="e">
        <f>#NAME?</f>
        <v>#NAME?</v>
      </c>
    </row>
    <row r="463" spans="1:4" x14ac:dyDescent="0.3">
      <c r="A463" s="48">
        <v>358205080845814</v>
      </c>
      <c r="B463" s="49">
        <v>45338.500162037039</v>
      </c>
      <c r="C463" s="46" t="s">
        <v>174</v>
      </c>
      <c r="D463" s="46" t="e">
        <f>#NAME?</f>
        <v>#NAME?</v>
      </c>
    </row>
    <row r="464" spans="1:4" x14ac:dyDescent="0.3">
      <c r="A464" s="48">
        <v>358205080845905</v>
      </c>
      <c r="B464" s="49">
        <v>45338.499756944446</v>
      </c>
      <c r="C464" s="46" t="s">
        <v>37</v>
      </c>
      <c r="D464" s="46" t="e">
        <f>#NAME?</f>
        <v>#NAME?</v>
      </c>
    </row>
    <row r="465" spans="1:4" x14ac:dyDescent="0.3">
      <c r="A465" s="48">
        <v>358205080846085</v>
      </c>
      <c r="B465" s="49">
        <v>45338.499907407408</v>
      </c>
      <c r="C465" s="46" t="s">
        <v>212</v>
      </c>
      <c r="D465" s="46" t="e">
        <f>#NAME?</f>
        <v>#NAME?</v>
      </c>
    </row>
    <row r="466" spans="1:4" x14ac:dyDescent="0.3">
      <c r="A466" s="48">
        <v>358205080846150</v>
      </c>
      <c r="B466" s="49">
        <v>45338.4996875</v>
      </c>
      <c r="C466" s="46" t="s">
        <v>212</v>
      </c>
      <c r="D466" s="46" t="e">
        <f>#NAME?</f>
        <v>#NAME?</v>
      </c>
    </row>
    <row r="467" spans="1:4" x14ac:dyDescent="0.3">
      <c r="A467" s="48">
        <v>358205080846432</v>
      </c>
      <c r="B467" s="49">
        <v>45338.254756944443</v>
      </c>
      <c r="C467" s="46" t="s">
        <v>212</v>
      </c>
      <c r="D467" s="46" t="e">
        <f>#NAME?</f>
        <v>#NAME?</v>
      </c>
    </row>
    <row r="468" spans="1:4" x14ac:dyDescent="0.3">
      <c r="A468" s="48">
        <v>358205080846531</v>
      </c>
      <c r="B468" s="49">
        <v>45338.368101851855</v>
      </c>
      <c r="C468" s="46" t="s">
        <v>37</v>
      </c>
      <c r="D468" s="46" t="e">
        <f>#NAME?</f>
        <v>#NAME?</v>
      </c>
    </row>
    <row r="469" spans="1:4" x14ac:dyDescent="0.3">
      <c r="A469" s="48">
        <v>358205080846614</v>
      </c>
      <c r="B469" s="49">
        <v>45338.410902777781</v>
      </c>
      <c r="C469" s="46" t="s">
        <v>212</v>
      </c>
      <c r="D469" s="46" t="e">
        <f>#NAME?</f>
        <v>#NAME?</v>
      </c>
    </row>
    <row r="470" spans="1:4" x14ac:dyDescent="0.3">
      <c r="A470" s="48">
        <v>358205080846655</v>
      </c>
      <c r="B470" s="49">
        <v>45338.500300925924</v>
      </c>
      <c r="C470" s="46" t="s">
        <v>212</v>
      </c>
      <c r="D470" s="46" t="e">
        <f>#NAME?</f>
        <v>#NAME?</v>
      </c>
    </row>
    <row r="471" spans="1:4" x14ac:dyDescent="0.3">
      <c r="A471" s="48">
        <v>358205080846770</v>
      </c>
      <c r="B471" s="49">
        <v>45338.338831018518</v>
      </c>
      <c r="C471" s="46" t="s">
        <v>37</v>
      </c>
      <c r="D471" s="46" t="e">
        <f>#NAME?</f>
        <v>#NAME?</v>
      </c>
    </row>
    <row r="472" spans="1:4" x14ac:dyDescent="0.3">
      <c r="A472" s="48">
        <v>358205080846804</v>
      </c>
      <c r="B472" s="49">
        <v>45338.336863425924</v>
      </c>
      <c r="C472" s="46" t="s">
        <v>162</v>
      </c>
      <c r="D472" s="46" t="e">
        <f>#NAME?</f>
        <v>#NAME?</v>
      </c>
    </row>
    <row r="473" spans="1:4" x14ac:dyDescent="0.3">
      <c r="A473" s="48">
        <v>358205080846887</v>
      </c>
      <c r="B473" s="49">
        <v>45338.499780092592</v>
      </c>
      <c r="C473" s="46" t="s">
        <v>212</v>
      </c>
      <c r="D473" s="46" t="e">
        <f>#NAME?</f>
        <v>#NAME?</v>
      </c>
    </row>
    <row r="474" spans="1:4" x14ac:dyDescent="0.3">
      <c r="A474" s="48">
        <v>358205080847042</v>
      </c>
      <c r="B474" s="49">
        <v>45337.308518518519</v>
      </c>
      <c r="C474" s="46" t="s">
        <v>212</v>
      </c>
      <c r="D474" s="46" t="e">
        <f>#NAME?</f>
        <v>#NAME?</v>
      </c>
    </row>
    <row r="475" spans="1:4" x14ac:dyDescent="0.3">
      <c r="A475" s="48">
        <v>358205080847117</v>
      </c>
      <c r="B475" s="49">
        <v>45337.566180555557</v>
      </c>
      <c r="C475" s="46" t="s">
        <v>212</v>
      </c>
      <c r="D475" s="46" t="e">
        <f>#NAME?</f>
        <v>#NAME?</v>
      </c>
    </row>
    <row r="476" spans="1:4" x14ac:dyDescent="0.3">
      <c r="A476" s="48">
        <v>358205080847216</v>
      </c>
      <c r="B476" s="49">
        <v>45338.281886574077</v>
      </c>
      <c r="C476" s="46" t="s">
        <v>162</v>
      </c>
      <c r="D476" s="46" t="e">
        <f>#NAME?</f>
        <v>#NAME?</v>
      </c>
    </row>
    <row r="477" spans="1:4" x14ac:dyDescent="0.3">
      <c r="A477" s="48">
        <v>358205080847224</v>
      </c>
      <c r="B477" s="49">
        <v>45338.499791666669</v>
      </c>
      <c r="C477" s="46" t="s">
        <v>162</v>
      </c>
      <c r="D477" s="46" t="e">
        <f>#NAME?</f>
        <v>#NAME?</v>
      </c>
    </row>
    <row r="478" spans="1:4" x14ac:dyDescent="0.3">
      <c r="A478" s="48">
        <v>358205080847240</v>
      </c>
      <c r="B478" s="49">
        <v>45338.499849537038</v>
      </c>
      <c r="C478" s="46" t="s">
        <v>162</v>
      </c>
      <c r="D478" s="46" t="e">
        <f>#NAME?</f>
        <v>#NAME?</v>
      </c>
    </row>
    <row r="479" spans="1:4" x14ac:dyDescent="0.3">
      <c r="A479" s="48">
        <v>358205080847257</v>
      </c>
      <c r="B479" s="49">
        <v>45337.336134259262</v>
      </c>
      <c r="C479" s="46" t="s">
        <v>212</v>
      </c>
      <c r="D479" s="46" t="e">
        <f>#NAME?</f>
        <v>#NAME?</v>
      </c>
    </row>
    <row r="480" spans="1:4" x14ac:dyDescent="0.3">
      <c r="A480" s="48">
        <v>358205080847281</v>
      </c>
      <c r="B480" s="49">
        <v>45338.499780092592</v>
      </c>
      <c r="C480" s="46" t="s">
        <v>212</v>
      </c>
      <c r="D480" s="46" t="e">
        <f>#NAME?</f>
        <v>#NAME?</v>
      </c>
    </row>
    <row r="481" spans="1:4" x14ac:dyDescent="0.3">
      <c r="A481" s="48">
        <v>358205080847315</v>
      </c>
      <c r="B481" s="49">
        <v>45338.499988425923</v>
      </c>
      <c r="C481" s="46" t="s">
        <v>37</v>
      </c>
      <c r="D481" s="46" t="e">
        <f>#NAME?</f>
        <v>#NAME?</v>
      </c>
    </row>
    <row r="482" spans="1:4" x14ac:dyDescent="0.3">
      <c r="A482" s="48">
        <v>358205080863940</v>
      </c>
      <c r="B482" s="49">
        <v>45338.500162037039</v>
      </c>
      <c r="C482" s="46" t="s">
        <v>174</v>
      </c>
      <c r="D482" s="46" t="e">
        <f>#NAME?</f>
        <v>#NAME?</v>
      </c>
    </row>
    <row r="483" spans="1:4" x14ac:dyDescent="0.3">
      <c r="A483" s="48">
        <v>358205080864237</v>
      </c>
      <c r="B483" s="49">
        <v>45338.499861111108</v>
      </c>
      <c r="C483" s="46" t="s">
        <v>174</v>
      </c>
      <c r="D483" s="46" t="e">
        <f>#NAME?</f>
        <v>#NAME?</v>
      </c>
    </row>
    <row r="484" spans="1:4" x14ac:dyDescent="0.3">
      <c r="A484" s="48">
        <v>358205080864260</v>
      </c>
      <c r="B484" s="49">
        <v>45338.500138888892</v>
      </c>
      <c r="C484" s="46" t="s">
        <v>174</v>
      </c>
      <c r="D484" s="46" t="e">
        <f>#NAME?</f>
        <v>#NAME?</v>
      </c>
    </row>
    <row r="485" spans="1:4" x14ac:dyDescent="0.3">
      <c r="A485" s="48">
        <v>358205080864302</v>
      </c>
      <c r="B485" s="49">
        <v>45338.500219907408</v>
      </c>
      <c r="C485" s="46" t="s">
        <v>174</v>
      </c>
      <c r="D485" s="46" t="e">
        <f>#NAME?</f>
        <v>#NAME?</v>
      </c>
    </row>
    <row r="486" spans="1:4" x14ac:dyDescent="0.3">
      <c r="A486" s="48">
        <v>358205080871596</v>
      </c>
      <c r="B486" s="49">
        <v>45338.500127314815</v>
      </c>
      <c r="C486" s="46" t="s">
        <v>37</v>
      </c>
      <c r="D486" s="46" t="e">
        <f>#NAME?</f>
        <v>#NAME?</v>
      </c>
    </row>
    <row r="487" spans="1:4" x14ac:dyDescent="0.3">
      <c r="A487" s="48">
        <v>358205080871711</v>
      </c>
      <c r="B487" s="49">
        <v>45338.500115740739</v>
      </c>
      <c r="C487" s="46" t="s">
        <v>37</v>
      </c>
      <c r="D487" s="46" t="e">
        <f>#NAME?</f>
        <v>#NAME?</v>
      </c>
    </row>
    <row r="488" spans="1:4" x14ac:dyDescent="0.3">
      <c r="A488" s="48">
        <v>358205080871752</v>
      </c>
      <c r="B488" s="49">
        <v>45338.499675925923</v>
      </c>
      <c r="C488" s="46" t="s">
        <v>37</v>
      </c>
      <c r="D488" s="46" t="e">
        <f>#NAME?</f>
        <v>#NAME?</v>
      </c>
    </row>
    <row r="489" spans="1:4" x14ac:dyDescent="0.3">
      <c r="A489" s="48">
        <v>358205080871786</v>
      </c>
      <c r="B489" s="49">
        <v>45338.499826388892</v>
      </c>
      <c r="C489" s="46" t="s">
        <v>37</v>
      </c>
      <c r="D489" s="46" t="e">
        <f>#NAME?</f>
        <v>#NAME?</v>
      </c>
    </row>
    <row r="490" spans="1:4" x14ac:dyDescent="0.3">
      <c r="A490" s="48">
        <v>358205080871885</v>
      </c>
      <c r="B490" s="49">
        <v>45338.500034722223</v>
      </c>
      <c r="C490" s="46" t="s">
        <v>37</v>
      </c>
      <c r="D490" s="46" t="e">
        <f>#NAME?</f>
        <v>#NAME?</v>
      </c>
    </row>
    <row r="491" spans="1:4" x14ac:dyDescent="0.3">
      <c r="A491" s="48">
        <v>358205080871950</v>
      </c>
      <c r="B491" s="49">
        <v>45338.499745370369</v>
      </c>
      <c r="C491" s="46" t="s">
        <v>37</v>
      </c>
      <c r="D491" s="46" t="e">
        <f>#NAME?</f>
        <v>#NAME?</v>
      </c>
    </row>
    <row r="492" spans="1:4" x14ac:dyDescent="0.3">
      <c r="A492" s="48">
        <v>358205080871976</v>
      </c>
      <c r="B492" s="49">
        <v>45338.499618055554</v>
      </c>
      <c r="C492" s="46" t="s">
        <v>37</v>
      </c>
      <c r="D492" s="46" t="e">
        <f>#NAME?</f>
        <v>#NAME?</v>
      </c>
    </row>
    <row r="493" spans="1:4" x14ac:dyDescent="0.3">
      <c r="A493" s="48">
        <v>358205080871984</v>
      </c>
      <c r="B493" s="49">
        <v>45338.499884259261</v>
      </c>
      <c r="C493" s="46" t="s">
        <v>174</v>
      </c>
      <c r="D493" s="46" t="e">
        <f>#NAME?</f>
        <v>#NAME?</v>
      </c>
    </row>
    <row r="494" spans="1:4" x14ac:dyDescent="0.3">
      <c r="A494" s="48">
        <v>358205080871992</v>
      </c>
      <c r="B494" s="49">
        <v>45338.215868055559</v>
      </c>
      <c r="C494" s="46" t="s">
        <v>37</v>
      </c>
      <c r="D494" s="46" t="e">
        <f>#NAME?</f>
        <v>#NAME?</v>
      </c>
    </row>
    <row r="495" spans="1:4" x14ac:dyDescent="0.3">
      <c r="A495" s="48">
        <v>358205080872024</v>
      </c>
      <c r="B495" s="49">
        <v>45338.190717592595</v>
      </c>
      <c r="C495" s="46" t="s">
        <v>37</v>
      </c>
      <c r="D495" s="46" t="e">
        <f>#NAME?</f>
        <v>#NAME?</v>
      </c>
    </row>
    <row r="496" spans="1:4" x14ac:dyDescent="0.3">
      <c r="A496" s="48">
        <v>358205080872032</v>
      </c>
      <c r="B496" s="49">
        <v>45336.545115740744</v>
      </c>
      <c r="C496" s="46" t="s">
        <v>37</v>
      </c>
      <c r="D496" s="46" t="e">
        <f>#NAME?</f>
        <v>#NAME?</v>
      </c>
    </row>
    <row r="497" spans="1:4" x14ac:dyDescent="0.3">
      <c r="A497" s="48">
        <v>358205080883732</v>
      </c>
      <c r="B497" s="49">
        <v>45338.461030092592</v>
      </c>
      <c r="C497" s="46" t="s">
        <v>37</v>
      </c>
      <c r="D497" s="46" t="e">
        <f>#NAME?</f>
        <v>#NAME?</v>
      </c>
    </row>
    <row r="498" spans="1:4" x14ac:dyDescent="0.3">
      <c r="A498" s="48">
        <v>358205080883773</v>
      </c>
      <c r="B498" s="49">
        <v>45338.285370370373</v>
      </c>
      <c r="C498" s="46" t="s">
        <v>37</v>
      </c>
      <c r="D498" s="46" t="e">
        <f>#NAME?</f>
        <v>#NAME?</v>
      </c>
    </row>
    <row r="499" spans="1:4" x14ac:dyDescent="0.3">
      <c r="A499" s="48">
        <v>358205080883880</v>
      </c>
      <c r="B499" s="49">
        <v>45338.5003125</v>
      </c>
      <c r="C499" s="46" t="s">
        <v>76</v>
      </c>
      <c r="D499" s="46" t="e">
        <f>#NAME?</f>
        <v>#NAME?</v>
      </c>
    </row>
    <row r="500" spans="1:4" x14ac:dyDescent="0.3">
      <c r="A500" s="48">
        <v>358205080883955</v>
      </c>
      <c r="B500" s="49">
        <v>45338.499791666669</v>
      </c>
      <c r="C500" s="46" t="s">
        <v>76</v>
      </c>
      <c r="D500" s="46" t="e">
        <f>#NAME?</f>
        <v>#NAME?</v>
      </c>
    </row>
    <row r="501" spans="1:4" x14ac:dyDescent="0.3">
      <c r="A501" s="48">
        <v>358205080888798</v>
      </c>
      <c r="B501" s="49">
        <v>45338.500219907408</v>
      </c>
      <c r="C501" s="46" t="s">
        <v>37</v>
      </c>
      <c r="D501" s="46" t="e">
        <f>#NAME?</f>
        <v>#NAME?</v>
      </c>
    </row>
    <row r="502" spans="1:4" x14ac:dyDescent="0.3">
      <c r="A502" s="48">
        <v>358205080888822</v>
      </c>
      <c r="B502" s="49">
        <v>45337.234884259262</v>
      </c>
      <c r="C502" s="46" t="s">
        <v>37</v>
      </c>
      <c r="D502" s="46" t="e">
        <f>#NAME?</f>
        <v>#NAME?</v>
      </c>
    </row>
    <row r="503" spans="1:4" x14ac:dyDescent="0.3">
      <c r="A503" s="48">
        <v>358205080888871</v>
      </c>
      <c r="B503" s="49">
        <v>45338.269525462965</v>
      </c>
      <c r="C503" s="46" t="s">
        <v>212</v>
      </c>
      <c r="D503" s="46" t="e">
        <f>#NAME?</f>
        <v>#NAME?</v>
      </c>
    </row>
    <row r="504" spans="1:4" x14ac:dyDescent="0.3">
      <c r="A504" s="48">
        <v>358205080888913</v>
      </c>
      <c r="B504" s="49">
        <v>45338.443680555552</v>
      </c>
      <c r="C504" s="46" t="s">
        <v>212</v>
      </c>
      <c r="D504" s="46" t="e">
        <f>#NAME?</f>
        <v>#NAME?</v>
      </c>
    </row>
    <row r="505" spans="1:4" x14ac:dyDescent="0.3">
      <c r="A505" s="48">
        <v>358205080888996</v>
      </c>
      <c r="B505" s="49">
        <v>45338.500115740739</v>
      </c>
      <c r="C505" s="46" t="s">
        <v>212</v>
      </c>
      <c r="D505" s="46" t="e">
        <f>#NAME?</f>
        <v>#NAME?</v>
      </c>
    </row>
    <row r="506" spans="1:4" x14ac:dyDescent="0.3">
      <c r="A506" s="48">
        <v>358205080889325</v>
      </c>
      <c r="B506" s="49">
        <v>45338.253900462965</v>
      </c>
      <c r="C506" s="46" t="s">
        <v>76</v>
      </c>
      <c r="D506" s="46" t="e">
        <f>#NAME?</f>
        <v>#NAME?</v>
      </c>
    </row>
    <row r="507" spans="1:4" x14ac:dyDescent="0.3">
      <c r="A507" s="48">
        <v>358205080889333</v>
      </c>
      <c r="B507" s="49">
        <v>45337.411886574075</v>
      </c>
      <c r="C507" s="46" t="s">
        <v>76</v>
      </c>
      <c r="D507" s="46" t="e">
        <f>#NAME?</f>
        <v>#NAME?</v>
      </c>
    </row>
    <row r="508" spans="1:4" x14ac:dyDescent="0.3">
      <c r="A508" s="48">
        <v>358205080890141</v>
      </c>
      <c r="B508" s="49">
        <v>45336.534236111111</v>
      </c>
      <c r="C508" s="46" t="s">
        <v>37</v>
      </c>
      <c r="D508" s="46" t="e">
        <f>#NAME?</f>
        <v>#NAME?</v>
      </c>
    </row>
    <row r="509" spans="1:4" x14ac:dyDescent="0.3">
      <c r="A509" s="48">
        <v>358205080890786</v>
      </c>
      <c r="B509" s="49">
        <v>45338.355613425927</v>
      </c>
      <c r="C509" s="46" t="s">
        <v>37</v>
      </c>
      <c r="D509" s="46" t="e">
        <f>#NAME?</f>
        <v>#NAME?</v>
      </c>
    </row>
    <row r="510" spans="1:4" x14ac:dyDescent="0.3">
      <c r="A510" s="48">
        <v>358205080891248</v>
      </c>
      <c r="B510" s="49">
        <v>45338.499895833331</v>
      </c>
      <c r="C510" s="46" t="s">
        <v>37</v>
      </c>
      <c r="D510" s="46" t="e">
        <f>#NAME?</f>
        <v>#NAME?</v>
      </c>
    </row>
    <row r="511" spans="1:4" x14ac:dyDescent="0.3">
      <c r="A511" s="48">
        <v>358205080897559</v>
      </c>
      <c r="B511" s="49">
        <v>45338.493842592594</v>
      </c>
      <c r="C511" s="46" t="s">
        <v>115</v>
      </c>
      <c r="D511" s="46" t="e">
        <f>#NAME?</f>
        <v>#NAME?</v>
      </c>
    </row>
    <row r="512" spans="1:4" x14ac:dyDescent="0.3">
      <c r="A512" s="48">
        <v>358205080897625</v>
      </c>
      <c r="B512" s="49">
        <v>45338.5000462963</v>
      </c>
      <c r="C512" s="46" t="s">
        <v>174</v>
      </c>
      <c r="D512" s="46" t="e">
        <f>#NAME?</f>
        <v>#NAME?</v>
      </c>
    </row>
    <row r="513" spans="1:4" x14ac:dyDescent="0.3">
      <c r="A513" s="48">
        <v>358205080897930</v>
      </c>
      <c r="B513" s="49">
        <v>45338.499710648146</v>
      </c>
      <c r="C513" s="46" t="s">
        <v>37</v>
      </c>
      <c r="D513" s="46" t="e">
        <f>#NAME?</f>
        <v>#NAME?</v>
      </c>
    </row>
    <row r="514" spans="1:4" x14ac:dyDescent="0.3">
      <c r="A514" s="48">
        <v>358205080897989</v>
      </c>
      <c r="B514" s="49">
        <v>45338.499849537038</v>
      </c>
      <c r="C514" s="46" t="s">
        <v>37</v>
      </c>
      <c r="D514" s="46" t="e">
        <f>#NAME?</f>
        <v>#NAME?</v>
      </c>
    </row>
    <row r="515" spans="1:4" x14ac:dyDescent="0.3">
      <c r="A515" s="48">
        <v>358205080898037</v>
      </c>
      <c r="B515" s="49">
        <v>45338.315706018519</v>
      </c>
      <c r="C515" s="46" t="s">
        <v>76</v>
      </c>
      <c r="D515" s="46" t="e">
        <f>#NAME?</f>
        <v>#NAME?</v>
      </c>
    </row>
    <row r="516" spans="1:4" x14ac:dyDescent="0.3">
      <c r="A516" s="48">
        <v>358205080898136</v>
      </c>
      <c r="B516" s="49">
        <v>45338.394421296296</v>
      </c>
      <c r="C516" s="46" t="s">
        <v>37</v>
      </c>
      <c r="D516" s="46" t="e">
        <f>#NAME?</f>
        <v>#NAME?</v>
      </c>
    </row>
    <row r="517" spans="1:4" x14ac:dyDescent="0.3">
      <c r="A517" s="48">
        <v>358205080898144</v>
      </c>
      <c r="B517" s="49">
        <v>45338.452662037038</v>
      </c>
      <c r="C517" s="46" t="s">
        <v>37</v>
      </c>
      <c r="D517" s="46" t="e">
        <f>#NAME?</f>
        <v>#NAME?</v>
      </c>
    </row>
    <row r="518" spans="1:4" x14ac:dyDescent="0.3">
      <c r="A518" s="48">
        <v>358205080898151</v>
      </c>
      <c r="B518" s="49">
        <v>45337.210081018522</v>
      </c>
      <c r="C518" s="46" t="s">
        <v>37</v>
      </c>
      <c r="D518" s="46" t="e">
        <f>#NAME?</f>
        <v>#NAME?</v>
      </c>
    </row>
    <row r="519" spans="1:4" x14ac:dyDescent="0.3">
      <c r="A519" s="48">
        <v>358205080898193</v>
      </c>
      <c r="B519" s="49">
        <v>45338.499803240738</v>
      </c>
      <c r="C519" s="46" t="s">
        <v>37</v>
      </c>
      <c r="D519" s="46" t="e">
        <f>#NAME?</f>
        <v>#NAME?</v>
      </c>
    </row>
    <row r="520" spans="1:4" x14ac:dyDescent="0.3">
      <c r="A520" s="48">
        <v>358205080898201</v>
      </c>
      <c r="B520" s="49">
        <v>45338.499722222223</v>
      </c>
      <c r="C520" s="46" t="s">
        <v>37</v>
      </c>
      <c r="D520" s="46" t="e">
        <f>#NAME?</f>
        <v>#NAME?</v>
      </c>
    </row>
    <row r="521" spans="1:4" x14ac:dyDescent="0.3">
      <c r="A521" s="48">
        <v>358205080898292</v>
      </c>
      <c r="B521" s="49">
        <v>45338.5002662037</v>
      </c>
      <c r="C521" s="46" t="s">
        <v>76</v>
      </c>
      <c r="D521" s="46" t="e">
        <f>#NAME?</f>
        <v>#NAME?</v>
      </c>
    </row>
    <row r="522" spans="1:4" x14ac:dyDescent="0.3">
      <c r="A522" s="48">
        <v>358205080898326</v>
      </c>
      <c r="B522" s="49">
        <v>45338.487615740742</v>
      </c>
      <c r="C522" s="46" t="s">
        <v>37</v>
      </c>
      <c r="D522" s="46" t="e">
        <f>#NAME?</f>
        <v>#NAME?</v>
      </c>
    </row>
    <row r="523" spans="1:4" x14ac:dyDescent="0.3">
      <c r="A523" s="48">
        <v>358205080898417</v>
      </c>
      <c r="B523" s="49">
        <v>45338.261469907404</v>
      </c>
      <c r="C523" s="46" t="s">
        <v>76</v>
      </c>
      <c r="D523" s="46" t="e">
        <f>#NAME?</f>
        <v>#NAME?</v>
      </c>
    </row>
    <row r="524" spans="1:4" x14ac:dyDescent="0.3">
      <c r="A524" s="48">
        <v>358205080898524</v>
      </c>
      <c r="B524" s="49">
        <v>45338.322372685187</v>
      </c>
      <c r="C524" s="46" t="s">
        <v>76</v>
      </c>
      <c r="D524" s="46" t="e">
        <f>#NAME?</f>
        <v>#NAME?</v>
      </c>
    </row>
    <row r="525" spans="1:4" x14ac:dyDescent="0.3">
      <c r="A525" s="48">
        <v>358205080898573</v>
      </c>
      <c r="B525" s="49">
        <v>45338.299166666664</v>
      </c>
      <c r="C525" s="46" t="s">
        <v>76</v>
      </c>
      <c r="D525" s="46" t="e">
        <f>#NAME?</f>
        <v>#NAME?</v>
      </c>
    </row>
    <row r="526" spans="1:4" x14ac:dyDescent="0.3">
      <c r="A526" s="48">
        <v>358205080898607</v>
      </c>
      <c r="B526" s="49">
        <v>45338.499641203707</v>
      </c>
      <c r="C526" s="46" t="s">
        <v>37</v>
      </c>
      <c r="D526" s="46" t="e">
        <f>#NAME?</f>
        <v>#NAME?</v>
      </c>
    </row>
    <row r="527" spans="1:4" x14ac:dyDescent="0.3">
      <c r="A527" s="48">
        <v>358205080898649</v>
      </c>
      <c r="B527" s="49">
        <v>45338.479039351849</v>
      </c>
      <c r="C527" s="46" t="s">
        <v>76</v>
      </c>
      <c r="D527" s="46" t="e">
        <f>#NAME?</f>
        <v>#NAME?</v>
      </c>
    </row>
    <row r="528" spans="1:4" x14ac:dyDescent="0.3">
      <c r="A528" s="48">
        <v>358205080898664</v>
      </c>
      <c r="B528" s="49">
        <v>45337.415601851855</v>
      </c>
      <c r="C528" s="46" t="s">
        <v>76</v>
      </c>
      <c r="D528" s="46" t="e">
        <f>#NAME?</f>
        <v>#NAME?</v>
      </c>
    </row>
    <row r="529" spans="1:4" x14ac:dyDescent="0.3">
      <c r="A529" s="48">
        <v>358205080898672</v>
      </c>
      <c r="B529" s="49">
        <v>45337.235914351855</v>
      </c>
      <c r="C529" s="46" t="s">
        <v>76</v>
      </c>
      <c r="D529" s="46" t="e">
        <f>#NAME?</f>
        <v>#NAME?</v>
      </c>
    </row>
    <row r="530" spans="1:4" x14ac:dyDescent="0.3">
      <c r="A530" s="48">
        <v>358205080898680</v>
      </c>
      <c r="B530" s="49">
        <v>45336.271979166668</v>
      </c>
      <c r="C530" s="46" t="s">
        <v>76</v>
      </c>
      <c r="D530" s="46" t="e">
        <f>#NAME?</f>
        <v>#NAME?</v>
      </c>
    </row>
    <row r="531" spans="1:4" x14ac:dyDescent="0.3">
      <c r="A531" s="48">
        <v>358205080898706</v>
      </c>
      <c r="B531" s="49">
        <v>45338.499837962961</v>
      </c>
      <c r="C531" s="46" t="s">
        <v>76</v>
      </c>
      <c r="D531" s="46" t="e">
        <f>#NAME?</f>
        <v>#NAME?</v>
      </c>
    </row>
    <row r="532" spans="1:4" x14ac:dyDescent="0.3">
      <c r="A532" s="48">
        <v>358205080898839</v>
      </c>
      <c r="B532" s="49">
        <v>45336.517465277779</v>
      </c>
      <c r="C532" s="46" t="s">
        <v>76</v>
      </c>
      <c r="D532" s="46" t="e">
        <f>#NAME?</f>
        <v>#NAME?</v>
      </c>
    </row>
    <row r="533" spans="1:4" x14ac:dyDescent="0.3">
      <c r="A533" s="48">
        <v>358205080898938</v>
      </c>
      <c r="B533" s="49">
        <v>45338.357870370368</v>
      </c>
      <c r="C533" s="46" t="s">
        <v>37</v>
      </c>
      <c r="D533" s="46" t="e">
        <f>#NAME?</f>
        <v>#NAME?</v>
      </c>
    </row>
    <row r="534" spans="1:4" x14ac:dyDescent="0.3">
      <c r="A534" s="48">
        <v>358205080898953</v>
      </c>
      <c r="B534" s="49">
        <v>45338.500057870369</v>
      </c>
      <c r="C534" s="46" t="s">
        <v>76</v>
      </c>
      <c r="D534" s="46" t="e">
        <f>#NAME?</f>
        <v>#NAME?</v>
      </c>
    </row>
    <row r="535" spans="1:4" x14ac:dyDescent="0.3">
      <c r="A535" s="48">
        <v>358205080898961</v>
      </c>
      <c r="B535" s="49">
        <v>45338.500092592592</v>
      </c>
      <c r="C535" s="46" t="s">
        <v>37</v>
      </c>
      <c r="D535" s="46" t="e">
        <f>#NAME?</f>
        <v>#NAME?</v>
      </c>
    </row>
    <row r="536" spans="1:4" x14ac:dyDescent="0.3">
      <c r="A536" s="48">
        <v>358205080899019</v>
      </c>
      <c r="B536" s="49">
        <v>45338.499965277777</v>
      </c>
      <c r="C536" s="46" t="s">
        <v>37</v>
      </c>
      <c r="D536" s="46" t="e">
        <f>#NAME?</f>
        <v>#NAME?</v>
      </c>
    </row>
    <row r="537" spans="1:4" x14ac:dyDescent="0.3">
      <c r="A537" s="48">
        <v>358205080899118</v>
      </c>
      <c r="B537" s="49">
        <v>45338.499837962961</v>
      </c>
      <c r="C537" s="46" t="s">
        <v>76</v>
      </c>
      <c r="D537" s="46" t="e">
        <f>#NAME?</f>
        <v>#NAME?</v>
      </c>
    </row>
    <row r="538" spans="1:4" x14ac:dyDescent="0.3">
      <c r="A538" s="48">
        <v>358205080899365</v>
      </c>
      <c r="B538" s="49">
        <v>45338.500069444446</v>
      </c>
      <c r="C538" s="46" t="s">
        <v>76</v>
      </c>
      <c r="D538" s="46" t="e">
        <f>#NAME?</f>
        <v>#NAME?</v>
      </c>
    </row>
    <row r="539" spans="1:4" x14ac:dyDescent="0.3">
      <c r="A539" s="48">
        <v>358205080899373</v>
      </c>
      <c r="B539" s="49">
        <v>45338.500243055554</v>
      </c>
      <c r="C539" s="46" t="s">
        <v>76</v>
      </c>
      <c r="D539" s="46" t="e">
        <f>#NAME?</f>
        <v>#NAME?</v>
      </c>
    </row>
    <row r="540" spans="1:4" x14ac:dyDescent="0.3">
      <c r="A540" s="48">
        <v>358205080899837</v>
      </c>
      <c r="B540" s="49">
        <v>45337.472118055557</v>
      </c>
      <c r="C540" s="46" t="s">
        <v>76</v>
      </c>
      <c r="D540" s="46" t="e">
        <f>#NAME?</f>
        <v>#NAME?</v>
      </c>
    </row>
    <row r="541" spans="1:4" x14ac:dyDescent="0.3">
      <c r="A541" s="48">
        <v>358205080899944</v>
      </c>
      <c r="B541" s="49">
        <v>45337.412118055552</v>
      </c>
      <c r="C541" s="46" t="s">
        <v>76</v>
      </c>
      <c r="D541" s="46" t="e">
        <f>#NAME?</f>
        <v>#NAME?</v>
      </c>
    </row>
    <row r="542" spans="1:4" x14ac:dyDescent="0.3">
      <c r="A542" s="48">
        <v>358205080900007</v>
      </c>
      <c r="B542" s="49">
        <v>45337.407569444447</v>
      </c>
      <c r="C542" s="46" t="s">
        <v>76</v>
      </c>
      <c r="D542" s="46" t="e">
        <f>#NAME?</f>
        <v>#NAME?</v>
      </c>
    </row>
    <row r="543" spans="1:4" x14ac:dyDescent="0.3">
      <c r="A543" s="48">
        <v>358205080900015</v>
      </c>
      <c r="B543" s="49">
        <v>45337.409861111111</v>
      </c>
      <c r="C543" s="46" t="s">
        <v>76</v>
      </c>
      <c r="D543" s="46" t="e">
        <f>#NAME?</f>
        <v>#NAME?</v>
      </c>
    </row>
    <row r="544" spans="1:4" x14ac:dyDescent="0.3">
      <c r="A544" s="48">
        <v>358205080900023</v>
      </c>
      <c r="B544" s="49">
        <v>45338.323298611111</v>
      </c>
      <c r="C544" s="46" t="s">
        <v>76</v>
      </c>
      <c r="D544" s="46" t="e">
        <f>#NAME?</f>
        <v>#NAME?</v>
      </c>
    </row>
    <row r="545" spans="1:4" x14ac:dyDescent="0.3">
      <c r="A545" s="48">
        <v>358205080900072</v>
      </c>
      <c r="B545" s="49">
        <v>45338.499976851854</v>
      </c>
      <c r="C545" s="46" t="s">
        <v>76</v>
      </c>
      <c r="D545" s="46" t="e">
        <f>#NAME?</f>
        <v>#NAME?</v>
      </c>
    </row>
    <row r="546" spans="1:4" x14ac:dyDescent="0.3">
      <c r="A546" s="48">
        <v>358205080902052</v>
      </c>
      <c r="B546" s="49">
        <v>45337.411539351851</v>
      </c>
      <c r="C546" s="46" t="s">
        <v>76</v>
      </c>
      <c r="D546" s="46" t="e">
        <f>#NAME?</f>
        <v>#NAME?</v>
      </c>
    </row>
    <row r="547" spans="1:4" x14ac:dyDescent="0.3">
      <c r="A547" s="48">
        <v>358205080902151</v>
      </c>
      <c r="B547" s="49">
        <v>45338.499976851854</v>
      </c>
      <c r="C547" s="46" t="s">
        <v>76</v>
      </c>
      <c r="D547" s="46" t="e">
        <f>#NAME?</f>
        <v>#NAME?</v>
      </c>
    </row>
    <row r="548" spans="1:4" x14ac:dyDescent="0.3">
      <c r="A548" s="48">
        <v>358205080902235</v>
      </c>
      <c r="B548" s="49">
        <v>45338.500162037039</v>
      </c>
      <c r="C548" s="46" t="s">
        <v>144</v>
      </c>
      <c r="D548" s="46" t="e">
        <f>#NAME?</f>
        <v>#NAME?</v>
      </c>
    </row>
    <row r="549" spans="1:4" x14ac:dyDescent="0.3">
      <c r="A549" s="48">
        <v>358205080902490</v>
      </c>
      <c r="B549" s="49">
        <v>45338.499745370369</v>
      </c>
      <c r="C549" s="46" t="s">
        <v>167</v>
      </c>
      <c r="D549" s="46" t="e">
        <f>#NAME?</f>
        <v>#NAME?</v>
      </c>
    </row>
    <row r="550" spans="1:4" x14ac:dyDescent="0.3">
      <c r="A550" s="48">
        <v>358205080902565</v>
      </c>
      <c r="B550" s="49">
        <v>45338.500219907408</v>
      </c>
      <c r="C550" s="46" t="s">
        <v>37</v>
      </c>
      <c r="D550" s="46" t="e">
        <f>#NAME?</f>
        <v>#NAME?</v>
      </c>
    </row>
    <row r="551" spans="1:4" x14ac:dyDescent="0.3">
      <c r="A551" s="48">
        <v>358205080902573</v>
      </c>
      <c r="B551" s="49">
        <v>45338.500185185185</v>
      </c>
      <c r="C551" s="46" t="s">
        <v>37</v>
      </c>
      <c r="D551" s="46" t="e">
        <f>#NAME?</f>
        <v>#NAME?</v>
      </c>
    </row>
    <row r="552" spans="1:4" x14ac:dyDescent="0.3">
      <c r="A552" s="48">
        <v>358205080902664</v>
      </c>
      <c r="B552" s="49">
        <v>45338.448935185188</v>
      </c>
      <c r="C552" s="46" t="s">
        <v>37</v>
      </c>
      <c r="D552" s="46" t="e">
        <f>#NAME?</f>
        <v>#NAME?</v>
      </c>
    </row>
    <row r="553" spans="1:4" x14ac:dyDescent="0.3">
      <c r="A553" s="48">
        <v>358205080902672</v>
      </c>
      <c r="B553" s="49">
        <v>45338.499861111108</v>
      </c>
      <c r="C553" s="46" t="s">
        <v>37</v>
      </c>
      <c r="D553" s="46" t="e">
        <f>#NAME?</f>
        <v>#NAME?</v>
      </c>
    </row>
    <row r="554" spans="1:4" x14ac:dyDescent="0.3">
      <c r="A554" s="48">
        <v>358205080902730</v>
      </c>
      <c r="B554" s="49">
        <v>45338.500162037039</v>
      </c>
      <c r="C554" s="46" t="s">
        <v>37</v>
      </c>
      <c r="D554" s="46" t="e">
        <f>#NAME?</f>
        <v>#NAME?</v>
      </c>
    </row>
    <row r="555" spans="1:4" x14ac:dyDescent="0.3">
      <c r="A555" s="48">
        <v>358205080902888</v>
      </c>
      <c r="B555" s="49">
        <v>45337.568599537037</v>
      </c>
      <c r="C555" s="46" t="s">
        <v>212</v>
      </c>
      <c r="D555" s="46" t="e">
        <f>#NAME?</f>
        <v>#NAME?</v>
      </c>
    </row>
    <row r="556" spans="1:4" x14ac:dyDescent="0.3">
      <c r="A556" s="48">
        <v>358205080902912</v>
      </c>
      <c r="B556" s="49">
        <v>45338.499861111108</v>
      </c>
      <c r="C556" s="46" t="s">
        <v>212</v>
      </c>
      <c r="D556" s="46" t="e">
        <f>#NAME?</f>
        <v>#NAME?</v>
      </c>
    </row>
    <row r="557" spans="1:4" x14ac:dyDescent="0.3">
      <c r="A557" s="48">
        <v>358205080902946</v>
      </c>
      <c r="B557" s="49">
        <v>45338.500243055554</v>
      </c>
      <c r="C557" s="46" t="s">
        <v>212</v>
      </c>
      <c r="D557" s="46" t="e">
        <f>#NAME?</f>
        <v>#NAME?</v>
      </c>
    </row>
    <row r="558" spans="1:4" x14ac:dyDescent="0.3">
      <c r="A558" s="48">
        <v>358205080902961</v>
      </c>
      <c r="B558" s="49">
        <v>45338.500092592592</v>
      </c>
      <c r="C558" s="46" t="s">
        <v>174</v>
      </c>
      <c r="D558" s="46" t="e">
        <f>#NAME?</f>
        <v>#NAME?</v>
      </c>
    </row>
    <row r="559" spans="1:4" x14ac:dyDescent="0.3">
      <c r="A559" s="48">
        <v>358205080903001</v>
      </c>
      <c r="B559" s="49">
        <v>45338.482199074075</v>
      </c>
      <c r="C559" s="46" t="s">
        <v>174</v>
      </c>
      <c r="D559" s="46" t="e">
        <f>#NAME?</f>
        <v>#NAME?</v>
      </c>
    </row>
    <row r="560" spans="1:4" x14ac:dyDescent="0.3">
      <c r="A560" s="48">
        <v>358205080903027</v>
      </c>
      <c r="B560" s="49">
        <v>45336.573298611111</v>
      </c>
      <c r="C560" s="46" t="s">
        <v>174</v>
      </c>
      <c r="D560" s="46" t="e">
        <f>#NAME?</f>
        <v>#NAME?</v>
      </c>
    </row>
    <row r="561" spans="1:4" x14ac:dyDescent="0.3">
      <c r="A561" s="48">
        <v>358205080903035</v>
      </c>
      <c r="B561" s="49">
        <v>45338.500162037039</v>
      </c>
      <c r="C561" s="46" t="s">
        <v>174</v>
      </c>
      <c r="D561" s="46" t="e">
        <f>#NAME?</f>
        <v>#NAME?</v>
      </c>
    </row>
    <row r="562" spans="1:4" x14ac:dyDescent="0.3">
      <c r="A562" s="48">
        <v>358205080903092</v>
      </c>
      <c r="B562" s="49">
        <v>45338.499872685185</v>
      </c>
      <c r="C562" s="46" t="s">
        <v>212</v>
      </c>
      <c r="D562" s="46" t="e">
        <f>#NAME?</f>
        <v>#NAME?</v>
      </c>
    </row>
    <row r="563" spans="1:4" x14ac:dyDescent="0.3">
      <c r="A563" s="48">
        <v>358205080903456</v>
      </c>
      <c r="B563" s="49">
        <v>45338.5</v>
      </c>
      <c r="C563" s="46" t="s">
        <v>37</v>
      </c>
      <c r="D563" s="46" t="e">
        <f>#NAME?</f>
        <v>#NAME?</v>
      </c>
    </row>
    <row r="564" spans="1:4" x14ac:dyDescent="0.3">
      <c r="A564" s="48">
        <v>358205080903498</v>
      </c>
      <c r="B564" s="49">
        <v>45338.499652777777</v>
      </c>
      <c r="C564" s="46" t="s">
        <v>144</v>
      </c>
      <c r="D564" s="46" t="e">
        <f>#NAME?</f>
        <v>#NAME?</v>
      </c>
    </row>
    <row r="565" spans="1:4" x14ac:dyDescent="0.3">
      <c r="A565" s="48">
        <v>358205080903506</v>
      </c>
      <c r="B565" s="49">
        <v>45338.4997337963</v>
      </c>
      <c r="C565" s="46" t="s">
        <v>144</v>
      </c>
      <c r="D565" s="46" t="e">
        <f>#NAME?</f>
        <v>#NAME?</v>
      </c>
    </row>
    <row r="566" spans="1:4" x14ac:dyDescent="0.3">
      <c r="A566" s="48">
        <v>358205080903514</v>
      </c>
      <c r="B566" s="49">
        <v>45336.603159722225</v>
      </c>
      <c r="C566" s="46" t="s">
        <v>144</v>
      </c>
      <c r="D566" s="46" t="e">
        <f>#NAME?</f>
        <v>#NAME?</v>
      </c>
    </row>
    <row r="567" spans="1:4" x14ac:dyDescent="0.3">
      <c r="A567" s="48">
        <v>358205080903597</v>
      </c>
      <c r="B567" s="49">
        <v>45337.493657407409</v>
      </c>
      <c r="C567" s="46" t="s">
        <v>144</v>
      </c>
      <c r="D567" s="46" t="e">
        <f>#NAME?</f>
        <v>#NAME?</v>
      </c>
    </row>
    <row r="568" spans="1:4" x14ac:dyDescent="0.3">
      <c r="A568" s="48">
        <v>358205080903605</v>
      </c>
      <c r="B568" s="49">
        <v>45337.575833333336</v>
      </c>
      <c r="C568" s="46" t="s">
        <v>144</v>
      </c>
      <c r="D568" s="46" t="e">
        <f>#NAME?</f>
        <v>#NAME?</v>
      </c>
    </row>
    <row r="569" spans="1:4" x14ac:dyDescent="0.3">
      <c r="A569" s="48">
        <v>358205080903654</v>
      </c>
      <c r="B569" s="49">
        <v>45338.499965277777</v>
      </c>
      <c r="C569" s="46" t="s">
        <v>174</v>
      </c>
      <c r="D569" s="46" t="e">
        <f>#NAME?</f>
        <v>#NAME?</v>
      </c>
    </row>
    <row r="570" spans="1:4" x14ac:dyDescent="0.3">
      <c r="A570" s="48">
        <v>358205080903712</v>
      </c>
      <c r="B570" s="49">
        <v>45338.500023148146</v>
      </c>
      <c r="C570" s="46" t="s">
        <v>212</v>
      </c>
      <c r="D570" s="46" t="e">
        <f>#NAME?</f>
        <v>#NAME?</v>
      </c>
    </row>
    <row r="571" spans="1:4" x14ac:dyDescent="0.3">
      <c r="A571" s="48">
        <v>358205080903738</v>
      </c>
      <c r="B571" s="49">
        <v>45338.226018518515</v>
      </c>
      <c r="C571" s="46" t="s">
        <v>212</v>
      </c>
      <c r="D571" s="46" t="e">
        <f>#NAME?</f>
        <v>#NAME?</v>
      </c>
    </row>
    <row r="572" spans="1:4" x14ac:dyDescent="0.3">
      <c r="A572" s="48">
        <v>358205080903795</v>
      </c>
      <c r="B572" s="49">
        <v>45338.499722222223</v>
      </c>
      <c r="C572" s="46" t="s">
        <v>212</v>
      </c>
      <c r="D572" s="46" t="e">
        <f>#NAME?</f>
        <v>#NAME?</v>
      </c>
    </row>
    <row r="573" spans="1:4" x14ac:dyDescent="0.3">
      <c r="A573" s="48">
        <v>358205080903803</v>
      </c>
      <c r="B573" s="49">
        <v>45338.4997337963</v>
      </c>
      <c r="C573" s="46" t="s">
        <v>212</v>
      </c>
      <c r="D573" s="46" t="e">
        <f>#NAME?</f>
        <v>#NAME?</v>
      </c>
    </row>
    <row r="574" spans="1:4" x14ac:dyDescent="0.3">
      <c r="A574" s="48">
        <v>358205080903837</v>
      </c>
      <c r="B574" s="49">
        <v>45338.500081018516</v>
      </c>
      <c r="C574" s="46" t="s">
        <v>212</v>
      </c>
      <c r="D574" s="46" t="e">
        <f>#NAME?</f>
        <v>#NAME?</v>
      </c>
    </row>
    <row r="575" spans="1:4" x14ac:dyDescent="0.3">
      <c r="A575" s="48">
        <v>358205080903852</v>
      </c>
      <c r="B575" s="49">
        <v>45338.5002662037</v>
      </c>
      <c r="C575" s="46" t="s">
        <v>212</v>
      </c>
      <c r="D575" s="46" t="e">
        <f>#NAME?</f>
        <v>#NAME?</v>
      </c>
    </row>
    <row r="576" spans="1:4" x14ac:dyDescent="0.3">
      <c r="A576" s="48">
        <v>358205080903894</v>
      </c>
      <c r="B576" s="49">
        <v>45338.500104166669</v>
      </c>
      <c r="C576" s="46" t="s">
        <v>37</v>
      </c>
      <c r="D576" s="46" t="e">
        <f>#NAME?</f>
        <v>#NAME?</v>
      </c>
    </row>
    <row r="577" spans="1:4" x14ac:dyDescent="0.3">
      <c r="A577" s="48">
        <v>358205080904116</v>
      </c>
      <c r="B577" s="49">
        <v>45338.499722222223</v>
      </c>
      <c r="C577" s="46" t="s">
        <v>144</v>
      </c>
      <c r="D577" s="46" t="e">
        <f>#NAME?</f>
        <v>#NAME?</v>
      </c>
    </row>
    <row r="578" spans="1:4" x14ac:dyDescent="0.3">
      <c r="A578" s="48">
        <v>358205080904207</v>
      </c>
      <c r="B578" s="49">
        <v>45338.499814814815</v>
      </c>
      <c r="C578" s="46" t="s">
        <v>144</v>
      </c>
      <c r="D578" s="46" t="e">
        <f>#NAME?</f>
        <v>#NAME?</v>
      </c>
    </row>
    <row r="579" spans="1:4" x14ac:dyDescent="0.3">
      <c r="A579" s="48">
        <v>358205080904231</v>
      </c>
      <c r="B579" s="49">
        <v>45338.357673611114</v>
      </c>
      <c r="C579" s="46" t="s">
        <v>144</v>
      </c>
      <c r="D579" s="46" t="e">
        <f>#NAME?</f>
        <v>#NAME?</v>
      </c>
    </row>
    <row r="580" spans="1:4" x14ac:dyDescent="0.3">
      <c r="A580" s="48">
        <v>358205080904306</v>
      </c>
      <c r="B580" s="49">
        <v>45338.499803240738</v>
      </c>
      <c r="C580" s="46" t="s">
        <v>144</v>
      </c>
      <c r="D580" s="46" t="e">
        <f>#NAME?</f>
        <v>#NAME?</v>
      </c>
    </row>
    <row r="581" spans="1:4" x14ac:dyDescent="0.3">
      <c r="A581" s="48">
        <v>358205080904371</v>
      </c>
      <c r="B581" s="49">
        <v>45338.500138888892</v>
      </c>
      <c r="C581" s="46" t="s">
        <v>144</v>
      </c>
      <c r="D581" s="46" t="e">
        <f>#NAME?</f>
        <v>#NAME?</v>
      </c>
    </row>
    <row r="582" spans="1:4" x14ac:dyDescent="0.3">
      <c r="A582" s="48">
        <v>358205080904439</v>
      </c>
      <c r="B582" s="49">
        <v>45338.500081018516</v>
      </c>
      <c r="C582" s="46" t="s">
        <v>37</v>
      </c>
      <c r="D582" s="46" t="e">
        <f>#NAME?</f>
        <v>#NAME?</v>
      </c>
    </row>
    <row r="583" spans="1:4" x14ac:dyDescent="0.3">
      <c r="A583" s="48">
        <v>358205080904488</v>
      </c>
      <c r="B583" s="49">
        <v>45337.430879629632</v>
      </c>
      <c r="C583" s="46" t="s">
        <v>144</v>
      </c>
      <c r="D583" s="46" t="e">
        <f>#NAME?</f>
        <v>#NAME?</v>
      </c>
    </row>
    <row r="584" spans="1:4" x14ac:dyDescent="0.3">
      <c r="A584" s="48">
        <v>358205080904579</v>
      </c>
      <c r="B584" s="49">
        <v>45338.500277777777</v>
      </c>
      <c r="C584" s="46" t="s">
        <v>144</v>
      </c>
      <c r="D584" s="46" t="e">
        <f>#NAME?</f>
        <v>#NAME?</v>
      </c>
    </row>
    <row r="585" spans="1:4" x14ac:dyDescent="0.3">
      <c r="A585" s="48">
        <v>358205080904611</v>
      </c>
      <c r="B585" s="49">
        <v>45338.499618055554</v>
      </c>
      <c r="C585" s="46" t="s">
        <v>37</v>
      </c>
      <c r="D585" s="46" t="e">
        <f>#NAME?</f>
        <v>#NAME?</v>
      </c>
    </row>
    <row r="586" spans="1:4" x14ac:dyDescent="0.3">
      <c r="A586" s="48">
        <v>358205080904710</v>
      </c>
      <c r="B586" s="49">
        <v>45338.499814814815</v>
      </c>
      <c r="C586" s="46" t="s">
        <v>37</v>
      </c>
      <c r="D586" s="46" t="e">
        <f>#NAME?</f>
        <v>#NAME?</v>
      </c>
    </row>
    <row r="587" spans="1:4" x14ac:dyDescent="0.3">
      <c r="A587" s="48">
        <v>358205080904850</v>
      </c>
      <c r="B587" s="49">
        <v>45337.449942129628</v>
      </c>
      <c r="C587" s="46" t="s">
        <v>37</v>
      </c>
      <c r="D587" s="46" t="e">
        <f>#NAME?</f>
        <v>#NAME?</v>
      </c>
    </row>
    <row r="588" spans="1:4" x14ac:dyDescent="0.3">
      <c r="A588" s="48">
        <v>358205080905170</v>
      </c>
      <c r="B588" s="49">
        <v>45338.4999537037</v>
      </c>
      <c r="C588" s="46" t="s">
        <v>167</v>
      </c>
      <c r="D588" s="46" t="e">
        <f>#NAME?</f>
        <v>#NAME?</v>
      </c>
    </row>
    <row r="589" spans="1:4" x14ac:dyDescent="0.3">
      <c r="A589" s="48">
        <v>358205080908620</v>
      </c>
      <c r="B589" s="49">
        <v>45338.427430555559</v>
      </c>
      <c r="C589" s="46" t="s">
        <v>144</v>
      </c>
      <c r="D589" s="46" t="e">
        <f>#NAME?</f>
        <v>#NAME?</v>
      </c>
    </row>
    <row r="590" spans="1:4" x14ac:dyDescent="0.3">
      <c r="A590" s="48">
        <v>358205080908653</v>
      </c>
      <c r="B590" s="49">
        <v>45338.499699074076</v>
      </c>
      <c r="C590" s="46" t="s">
        <v>144</v>
      </c>
      <c r="D590" s="46" t="e">
        <f>#NAME?</f>
        <v>#NAME?</v>
      </c>
    </row>
    <row r="591" spans="1:4" x14ac:dyDescent="0.3">
      <c r="A591" s="48">
        <v>358205080908661</v>
      </c>
      <c r="B591" s="49">
        <v>45338.499791666669</v>
      </c>
      <c r="C591" s="46" t="s">
        <v>144</v>
      </c>
      <c r="D591" s="46" t="e">
        <f>#NAME?</f>
        <v>#NAME?</v>
      </c>
    </row>
    <row r="592" spans="1:4" x14ac:dyDescent="0.3">
      <c r="A592" s="48">
        <v>358205080908729</v>
      </c>
      <c r="B592" s="49">
        <v>45338.500277777777</v>
      </c>
      <c r="C592" s="46" t="s">
        <v>144</v>
      </c>
      <c r="D592" s="46" t="e">
        <f>#NAME?</f>
        <v>#NAME?</v>
      </c>
    </row>
    <row r="593" spans="1:4" x14ac:dyDescent="0.3">
      <c r="A593" s="48">
        <v>358205080908851</v>
      </c>
      <c r="B593" s="49">
        <v>45338.499664351853</v>
      </c>
      <c r="C593" s="46" t="s">
        <v>144</v>
      </c>
      <c r="D593" s="46" t="e">
        <f>#NAME?</f>
        <v>#NAME?</v>
      </c>
    </row>
    <row r="594" spans="1:4" x14ac:dyDescent="0.3">
      <c r="A594" s="48">
        <v>358205080909164</v>
      </c>
      <c r="B594" s="49">
        <v>45338.42759259259</v>
      </c>
      <c r="C594" s="46" t="s">
        <v>144</v>
      </c>
      <c r="D594" s="46" t="e">
        <f>#NAME?</f>
        <v>#NAME?</v>
      </c>
    </row>
    <row r="595" spans="1:4" x14ac:dyDescent="0.3">
      <c r="A595" s="48">
        <v>358205080909347</v>
      </c>
      <c r="B595" s="49">
        <v>45338.499942129631</v>
      </c>
      <c r="C595" s="46" t="s">
        <v>76</v>
      </c>
      <c r="D595" s="46" t="e">
        <f>#NAME?</f>
        <v>#NAME?</v>
      </c>
    </row>
    <row r="596" spans="1:4" x14ac:dyDescent="0.3">
      <c r="A596" s="48">
        <v>358205080909354</v>
      </c>
      <c r="B596" s="49">
        <v>45338.499780092592</v>
      </c>
      <c r="C596" s="46" t="s">
        <v>76</v>
      </c>
      <c r="D596" s="46" t="e">
        <f>#NAME?</f>
        <v>#NAME?</v>
      </c>
    </row>
    <row r="597" spans="1:4" x14ac:dyDescent="0.3">
      <c r="A597" s="48">
        <v>358205080933404</v>
      </c>
      <c r="B597" s="49">
        <v>45338.443842592591</v>
      </c>
      <c r="C597" s="46" t="s">
        <v>174</v>
      </c>
      <c r="D597" s="46" t="e">
        <f>#NAME?</f>
        <v>#NAME?</v>
      </c>
    </row>
    <row r="598" spans="1:4" x14ac:dyDescent="0.3">
      <c r="A598" s="48">
        <v>358205080933701</v>
      </c>
      <c r="B598" s="49">
        <v>45338.499768518515</v>
      </c>
      <c r="C598" s="46" t="s">
        <v>212</v>
      </c>
      <c r="D598" s="46" t="e">
        <f>#NAME?</f>
        <v>#NAME?</v>
      </c>
    </row>
    <row r="599" spans="1:4" x14ac:dyDescent="0.3">
      <c r="A599" s="48">
        <v>358205080933768</v>
      </c>
      <c r="B599" s="49">
        <v>45338.499652777777</v>
      </c>
      <c r="C599" s="46" t="s">
        <v>212</v>
      </c>
      <c r="D599" s="46" t="e">
        <f>#NAME?</f>
        <v>#NAME?</v>
      </c>
    </row>
    <row r="600" spans="1:4" x14ac:dyDescent="0.3">
      <c r="A600" s="48">
        <v>358205080933917</v>
      </c>
      <c r="B600" s="49">
        <v>45338.500231481485</v>
      </c>
      <c r="C600" s="46" t="s">
        <v>167</v>
      </c>
      <c r="D600" s="46" t="e">
        <f>#NAME?</f>
        <v>#NAME?</v>
      </c>
    </row>
    <row r="601" spans="1:4" x14ac:dyDescent="0.3">
      <c r="A601" s="48">
        <v>358205080933933</v>
      </c>
      <c r="B601" s="49">
        <v>45338.4999537037</v>
      </c>
      <c r="C601" s="46" t="s">
        <v>167</v>
      </c>
      <c r="D601" s="46" t="e">
        <f>#NAME?</f>
        <v>#NAME?</v>
      </c>
    </row>
    <row r="602" spans="1:4" x14ac:dyDescent="0.3">
      <c r="A602" s="48">
        <v>358205082874614</v>
      </c>
      <c r="B602" s="49">
        <v>45338.499652777777</v>
      </c>
      <c r="C602" s="46" t="s">
        <v>10</v>
      </c>
      <c r="D602" s="46" t="e">
        <f>#NAME?</f>
        <v>#NAME?</v>
      </c>
    </row>
    <row r="603" spans="1:4" x14ac:dyDescent="0.3">
      <c r="A603" s="48">
        <v>358205082874663</v>
      </c>
      <c r="B603" s="49">
        <v>45338.499664351853</v>
      </c>
      <c r="C603" s="46" t="s">
        <v>174</v>
      </c>
      <c r="D603" s="46" t="e">
        <f>#NAME?</f>
        <v>#NAME?</v>
      </c>
    </row>
    <row r="604" spans="1:4" x14ac:dyDescent="0.3">
      <c r="A604" s="48">
        <v>358205082874671</v>
      </c>
      <c r="B604" s="49">
        <v>45338.499988425923</v>
      </c>
      <c r="C604" s="46" t="s">
        <v>10</v>
      </c>
      <c r="D604" s="46" t="e">
        <f>#NAME?</f>
        <v>#NAME?</v>
      </c>
    </row>
    <row r="605" spans="1:4" x14ac:dyDescent="0.3">
      <c r="A605" s="48">
        <v>358205082874705</v>
      </c>
      <c r="B605" s="49">
        <v>45338.5</v>
      </c>
      <c r="C605" s="46" t="s">
        <v>10</v>
      </c>
      <c r="D605" s="46" t="e">
        <f>#NAME?</f>
        <v>#NAME?</v>
      </c>
    </row>
    <row r="606" spans="1:4" x14ac:dyDescent="0.3">
      <c r="A606" s="48">
        <v>358205082874747</v>
      </c>
      <c r="B606" s="49">
        <v>45338.500231481485</v>
      </c>
      <c r="C606" s="46" t="s">
        <v>174</v>
      </c>
      <c r="D606" s="46" t="e">
        <f>#NAME?</f>
        <v>#NAME?</v>
      </c>
    </row>
    <row r="607" spans="1:4" x14ac:dyDescent="0.3">
      <c r="A607" s="48">
        <v>358205082874911</v>
      </c>
      <c r="B607" s="49">
        <v>45338.500115740739</v>
      </c>
      <c r="C607" s="46" t="s">
        <v>10</v>
      </c>
      <c r="D607" s="46" t="e">
        <f>#NAME?</f>
        <v>#NAME?</v>
      </c>
    </row>
    <row r="608" spans="1:4" x14ac:dyDescent="0.3">
      <c r="A608" s="48">
        <v>358205082874960</v>
      </c>
      <c r="B608" s="49">
        <v>45338.499699074076</v>
      </c>
      <c r="C608" s="46" t="s">
        <v>10</v>
      </c>
      <c r="D608" s="46" t="e">
        <f>#NAME?</f>
        <v>#NAME?</v>
      </c>
    </row>
    <row r="609" spans="1:4" x14ac:dyDescent="0.3">
      <c r="A609" s="48">
        <v>358205082875009</v>
      </c>
      <c r="B609" s="49">
        <v>45337.550324074073</v>
      </c>
      <c r="C609" s="46" t="s">
        <v>174</v>
      </c>
      <c r="D609" s="46" t="e">
        <f>#NAME?</f>
        <v>#NAME?</v>
      </c>
    </row>
    <row r="610" spans="1:4" x14ac:dyDescent="0.3">
      <c r="A610" s="48">
        <v>358205082875025</v>
      </c>
      <c r="B610" s="49">
        <v>45338.499976851854</v>
      </c>
      <c r="C610" s="46" t="s">
        <v>174</v>
      </c>
      <c r="D610" s="46" t="e">
        <f>#NAME?</f>
        <v>#NAME?</v>
      </c>
    </row>
    <row r="611" spans="1:4" x14ac:dyDescent="0.3">
      <c r="A611" s="48">
        <v>358205083573710</v>
      </c>
      <c r="B611" s="49">
        <v>45338.405775462961</v>
      </c>
      <c r="C611" s="46" t="s">
        <v>119</v>
      </c>
      <c r="D611" s="46" t="e">
        <f>#NAME?</f>
        <v>#NAME?</v>
      </c>
    </row>
    <row r="612" spans="1:4" x14ac:dyDescent="0.3">
      <c r="A612" s="48">
        <v>358205083573959</v>
      </c>
      <c r="B612" s="49">
        <v>45337.207997685182</v>
      </c>
      <c r="C612" s="46" t="s">
        <v>162</v>
      </c>
      <c r="D612" s="46" t="e">
        <f>#NAME?</f>
        <v>#NAME?</v>
      </c>
    </row>
    <row r="613" spans="1:4" x14ac:dyDescent="0.3">
      <c r="A613" s="48">
        <v>358205083573975</v>
      </c>
      <c r="B613" s="49">
        <v>45338.238726851851</v>
      </c>
      <c r="C613" s="46" t="s">
        <v>162</v>
      </c>
      <c r="D613" s="46" t="e">
        <f>#NAME?</f>
        <v>#NAME?</v>
      </c>
    </row>
    <row r="614" spans="1:4" x14ac:dyDescent="0.3">
      <c r="A614" s="48">
        <v>358205083573991</v>
      </c>
      <c r="B614" s="49">
        <v>45338.500277777777</v>
      </c>
      <c r="C614" s="46" t="s">
        <v>119</v>
      </c>
      <c r="D614" s="46" t="e">
        <f>#NAME?</f>
        <v>#NAME?</v>
      </c>
    </row>
    <row r="615" spans="1:4" x14ac:dyDescent="0.3">
      <c r="A615" s="48">
        <v>358205083574031</v>
      </c>
      <c r="B615" s="49">
        <v>45338.4997337963</v>
      </c>
      <c r="C615" s="46" t="s">
        <v>174</v>
      </c>
      <c r="D615" s="46" t="e">
        <f>#NAME?</f>
        <v>#NAME?</v>
      </c>
    </row>
    <row r="616" spans="1:4" x14ac:dyDescent="0.3">
      <c r="A616" s="48">
        <v>358205083574064</v>
      </c>
      <c r="B616" s="49">
        <v>45338.499722222223</v>
      </c>
      <c r="C616" s="46" t="s">
        <v>119</v>
      </c>
      <c r="D616" s="46" t="e">
        <f>#NAME?</f>
        <v>#NAME?</v>
      </c>
    </row>
    <row r="617" spans="1:4" x14ac:dyDescent="0.3">
      <c r="A617" s="48">
        <v>358205083574072</v>
      </c>
      <c r="B617" s="49">
        <v>45338.499768518515</v>
      </c>
      <c r="C617" s="46" t="s">
        <v>119</v>
      </c>
      <c r="D617" s="46" t="e">
        <f>#NAME?</f>
        <v>#NAME?</v>
      </c>
    </row>
    <row r="618" spans="1:4" x14ac:dyDescent="0.3">
      <c r="A618" s="48">
        <v>358205083574098</v>
      </c>
      <c r="B618" s="49">
        <v>45338.499652777777</v>
      </c>
      <c r="C618" s="46" t="s">
        <v>119</v>
      </c>
      <c r="D618" s="46" t="e">
        <f>#NAME?</f>
        <v>#NAME?</v>
      </c>
    </row>
    <row r="619" spans="1:4" x14ac:dyDescent="0.3">
      <c r="A619" s="48">
        <v>358205083574148</v>
      </c>
      <c r="B619" s="49">
        <v>45338.499641203707</v>
      </c>
      <c r="C619" s="46" t="s">
        <v>119</v>
      </c>
      <c r="D619" s="46" t="e">
        <f>#NAME?</f>
        <v>#NAME?</v>
      </c>
    </row>
    <row r="620" spans="1:4" x14ac:dyDescent="0.3">
      <c r="A620" s="48">
        <v>358205083574163</v>
      </c>
      <c r="B620" s="49">
        <v>45338.500127314815</v>
      </c>
      <c r="C620" s="46" t="s">
        <v>111</v>
      </c>
      <c r="D620" s="46" t="e">
        <f>#NAME?</f>
        <v>#NAME?</v>
      </c>
    </row>
    <row r="621" spans="1:4" x14ac:dyDescent="0.3">
      <c r="A621" s="48">
        <v>358205083574171</v>
      </c>
      <c r="B621" s="49">
        <v>45338.500104166669</v>
      </c>
      <c r="C621" s="46" t="s">
        <v>111</v>
      </c>
      <c r="D621" s="46" t="e">
        <f>#NAME?</f>
        <v>#NAME?</v>
      </c>
    </row>
    <row r="622" spans="1:4" x14ac:dyDescent="0.3">
      <c r="A622" s="48">
        <v>358205083574197</v>
      </c>
      <c r="B622" s="49">
        <v>45338.259120370371</v>
      </c>
      <c r="C622" s="46" t="s">
        <v>162</v>
      </c>
      <c r="D622" s="46" t="e">
        <f>#NAME?</f>
        <v>#NAME?</v>
      </c>
    </row>
    <row r="623" spans="1:4" x14ac:dyDescent="0.3">
      <c r="A623" s="48">
        <v>358205083574205</v>
      </c>
      <c r="B623" s="49">
        <v>45338.406226851854</v>
      </c>
      <c r="C623" s="46" t="s">
        <v>119</v>
      </c>
      <c r="D623" s="46" t="e">
        <f>#NAME?</f>
        <v>#NAME?</v>
      </c>
    </row>
    <row r="624" spans="1:4" x14ac:dyDescent="0.3">
      <c r="A624" s="48">
        <v>358205083574213</v>
      </c>
      <c r="B624" s="49">
        <v>45337.415752314817</v>
      </c>
      <c r="C624" s="46" t="s">
        <v>119</v>
      </c>
      <c r="D624" s="46" t="e">
        <f>#NAME?</f>
        <v>#NAME?</v>
      </c>
    </row>
    <row r="625" spans="1:4" x14ac:dyDescent="0.3">
      <c r="A625" s="48">
        <v>358205083574288</v>
      </c>
      <c r="B625" s="49">
        <v>45338.4996875</v>
      </c>
      <c r="C625" s="46" t="s">
        <v>162</v>
      </c>
      <c r="D625" s="46" t="e">
        <f>#NAME?</f>
        <v>#NAME?</v>
      </c>
    </row>
    <row r="626" spans="1:4" x14ac:dyDescent="0.3">
      <c r="A626" s="48">
        <v>358205083574411</v>
      </c>
      <c r="B626" s="49">
        <v>45336.342800925922</v>
      </c>
      <c r="C626" s="46" t="s">
        <v>111</v>
      </c>
      <c r="D626" s="46" t="e">
        <f>#NAME?</f>
        <v>#NAME?</v>
      </c>
    </row>
    <row r="627" spans="1:4" x14ac:dyDescent="0.3">
      <c r="A627" s="48">
        <v>358205083574510</v>
      </c>
      <c r="B627" s="49">
        <v>45337.168946759259</v>
      </c>
      <c r="C627" s="46" t="s">
        <v>111</v>
      </c>
      <c r="D627" s="46" t="e">
        <f>#NAME?</f>
        <v>#NAME?</v>
      </c>
    </row>
    <row r="628" spans="1:4" x14ac:dyDescent="0.3">
      <c r="A628" s="48">
        <v>358205083574650</v>
      </c>
      <c r="B628" s="49">
        <v>45336.213125000002</v>
      </c>
      <c r="C628" s="46" t="s">
        <v>174</v>
      </c>
      <c r="D628" s="46" t="e">
        <f>#NAME?</f>
        <v>#NAME?</v>
      </c>
    </row>
    <row r="629" spans="1:4" x14ac:dyDescent="0.3">
      <c r="A629" s="48">
        <v>358205083574866</v>
      </c>
      <c r="B629" s="49">
        <v>45338.500289351854</v>
      </c>
      <c r="C629" s="46" t="s">
        <v>37</v>
      </c>
      <c r="D629" s="46" t="e">
        <f>#NAME?</f>
        <v>#NAME?</v>
      </c>
    </row>
    <row r="630" spans="1:4" x14ac:dyDescent="0.3">
      <c r="A630" s="48">
        <v>358205083574874</v>
      </c>
      <c r="B630" s="49">
        <v>45338.5000462963</v>
      </c>
      <c r="C630" s="46" t="s">
        <v>174</v>
      </c>
      <c r="D630" s="46" t="e">
        <f>#NAME?</f>
        <v>#NAME?</v>
      </c>
    </row>
    <row r="631" spans="1:4" x14ac:dyDescent="0.3">
      <c r="A631" s="48">
        <v>358205083574908</v>
      </c>
      <c r="B631" s="49">
        <v>45338.500127314815</v>
      </c>
      <c r="C631" s="46" t="s">
        <v>162</v>
      </c>
      <c r="D631" s="46" t="e">
        <f>#NAME?</f>
        <v>#NAME?</v>
      </c>
    </row>
    <row r="632" spans="1:4" x14ac:dyDescent="0.3">
      <c r="A632" s="48">
        <v>358205083574916</v>
      </c>
      <c r="B632" s="49">
        <v>45338.500023148146</v>
      </c>
      <c r="C632" s="46" t="s">
        <v>119</v>
      </c>
      <c r="D632" s="46" t="e">
        <f>#NAME?</f>
        <v>#NAME?</v>
      </c>
    </row>
    <row r="633" spans="1:4" x14ac:dyDescent="0.3">
      <c r="A633" s="48">
        <v>358205083574940</v>
      </c>
      <c r="B633" s="49">
        <v>45338.499976851854</v>
      </c>
      <c r="C633" s="46" t="s">
        <v>111</v>
      </c>
      <c r="D633" s="46" t="e">
        <f>#NAME?</f>
        <v>#NAME?</v>
      </c>
    </row>
    <row r="634" spans="1:4" x14ac:dyDescent="0.3">
      <c r="A634" s="48">
        <v>358205083574973</v>
      </c>
      <c r="B634" s="49">
        <v>45338.435937499999</v>
      </c>
      <c r="C634" s="46" t="s">
        <v>111</v>
      </c>
      <c r="D634" s="46" t="e">
        <f>#NAME?</f>
        <v>#NAME?</v>
      </c>
    </row>
    <row r="635" spans="1:4" x14ac:dyDescent="0.3">
      <c r="A635" s="48">
        <v>358205083575087</v>
      </c>
      <c r="B635" s="49">
        <v>45336.221134259256</v>
      </c>
      <c r="C635" s="46" t="s">
        <v>111</v>
      </c>
      <c r="D635" s="46" t="e">
        <f>#NAME?</f>
        <v>#NAME?</v>
      </c>
    </row>
    <row r="636" spans="1:4" x14ac:dyDescent="0.3">
      <c r="A636" s="48">
        <v>358205083575095</v>
      </c>
      <c r="B636" s="49">
        <v>45338.337916666664</v>
      </c>
      <c r="C636" s="46" t="s">
        <v>162</v>
      </c>
      <c r="D636" s="46" t="e">
        <f>#NAME?</f>
        <v>#NAME?</v>
      </c>
    </row>
    <row r="637" spans="1:4" x14ac:dyDescent="0.3">
      <c r="A637" s="48">
        <v>358205083585573</v>
      </c>
      <c r="B637" s="49">
        <v>45338.499849537038</v>
      </c>
      <c r="C637" s="46" t="s">
        <v>167</v>
      </c>
      <c r="D637" s="46" t="e">
        <f>#NAME?</f>
        <v>#NAME?</v>
      </c>
    </row>
    <row r="638" spans="1:4" x14ac:dyDescent="0.3">
      <c r="A638" s="48">
        <v>358205083585649</v>
      </c>
      <c r="B638" s="49">
        <v>45338.49962962963</v>
      </c>
      <c r="C638" s="46" t="s">
        <v>167</v>
      </c>
      <c r="D638" s="46" t="e">
        <f>#NAME?</f>
        <v>#NAME?</v>
      </c>
    </row>
    <row r="639" spans="1:4" x14ac:dyDescent="0.3">
      <c r="A639" s="48">
        <v>358205083585656</v>
      </c>
      <c r="B639" s="49">
        <v>45338.4997337963</v>
      </c>
      <c r="C639" s="46" t="s">
        <v>162</v>
      </c>
      <c r="D639" s="46" t="e">
        <f>#NAME?</f>
        <v>#NAME?</v>
      </c>
    </row>
    <row r="640" spans="1:4" x14ac:dyDescent="0.3">
      <c r="A640" s="48">
        <v>358205083585664</v>
      </c>
      <c r="B640" s="49">
        <v>45338.500208333331</v>
      </c>
      <c r="C640" s="46" t="s">
        <v>167</v>
      </c>
      <c r="D640" s="46" t="e">
        <f>#NAME?</f>
        <v>#NAME?</v>
      </c>
    </row>
    <row r="641" spans="1:4" x14ac:dyDescent="0.3">
      <c r="A641" s="48">
        <v>358205083585672</v>
      </c>
      <c r="B641" s="49">
        <v>45338.4999537037</v>
      </c>
      <c r="C641" s="46" t="s">
        <v>167</v>
      </c>
      <c r="D641" s="46" t="e">
        <f>#NAME?</f>
        <v>#NAME?</v>
      </c>
    </row>
    <row r="642" spans="1:4" x14ac:dyDescent="0.3">
      <c r="A642" s="48">
        <v>358205083585698</v>
      </c>
      <c r="B642" s="49">
        <v>45338.499965277777</v>
      </c>
      <c r="C642" s="46" t="s">
        <v>224</v>
      </c>
      <c r="D642" s="46" t="e">
        <f>#NAME?</f>
        <v>#NAME?</v>
      </c>
    </row>
    <row r="643" spans="1:4" x14ac:dyDescent="0.3">
      <c r="A643" s="48">
        <v>358205083585706</v>
      </c>
      <c r="B643" s="49">
        <v>45338.499756944446</v>
      </c>
      <c r="C643" s="46" t="s">
        <v>10</v>
      </c>
      <c r="D643" s="46" t="e">
        <f>#NAME?</f>
        <v>#NAME?</v>
      </c>
    </row>
    <row r="644" spans="1:4" x14ac:dyDescent="0.3">
      <c r="A644" s="48">
        <v>358205083585730</v>
      </c>
      <c r="B644" s="49">
        <v>45338.5000462963</v>
      </c>
      <c r="C644" s="46" t="s">
        <v>174</v>
      </c>
      <c r="D644" s="46" t="e">
        <f>#NAME?</f>
        <v>#NAME?</v>
      </c>
    </row>
    <row r="645" spans="1:4" x14ac:dyDescent="0.3">
      <c r="A645" s="48">
        <v>358205083585755</v>
      </c>
      <c r="B645" s="49">
        <v>45338.5003125</v>
      </c>
      <c r="C645" s="46" t="s">
        <v>162</v>
      </c>
      <c r="D645" s="46" t="e">
        <f>#NAME?</f>
        <v>#NAME?</v>
      </c>
    </row>
    <row r="646" spans="1:4" x14ac:dyDescent="0.3">
      <c r="A646" s="48">
        <v>358205083585888</v>
      </c>
      <c r="B646" s="49">
        <v>45338.500011574077</v>
      </c>
      <c r="C646" s="46" t="s">
        <v>174</v>
      </c>
      <c r="D646" s="46" t="e">
        <f>#NAME?</f>
        <v>#NAME?</v>
      </c>
    </row>
    <row r="647" spans="1:4" x14ac:dyDescent="0.3">
      <c r="A647" s="48">
        <v>358205083585904</v>
      </c>
      <c r="B647" s="49">
        <v>45337.991666666669</v>
      </c>
      <c r="C647" s="46" t="s">
        <v>10</v>
      </c>
      <c r="D647" s="46" t="e">
        <f>#NAME?</f>
        <v>#NAME?</v>
      </c>
    </row>
    <row r="648" spans="1:4" x14ac:dyDescent="0.3">
      <c r="A648" s="48">
        <v>358205083585920</v>
      </c>
      <c r="B648" s="49">
        <v>45338.499780092592</v>
      </c>
      <c r="C648" s="46" t="s">
        <v>10</v>
      </c>
      <c r="D648" s="46" t="e">
        <f>#NAME?</f>
        <v>#NAME?</v>
      </c>
    </row>
    <row r="649" spans="1:4" x14ac:dyDescent="0.3">
      <c r="A649" s="48">
        <v>358205083585961</v>
      </c>
      <c r="B649" s="49">
        <v>45338.499780092592</v>
      </c>
      <c r="C649" s="46" t="s">
        <v>10</v>
      </c>
      <c r="D649" s="46" t="e">
        <f>#NAME?</f>
        <v>#NAME?</v>
      </c>
    </row>
    <row r="650" spans="1:4" x14ac:dyDescent="0.3">
      <c r="A650" s="48">
        <v>358205083585979</v>
      </c>
      <c r="B650" s="49">
        <v>45337.369398148148</v>
      </c>
      <c r="C650" s="46" t="s">
        <v>10</v>
      </c>
      <c r="D650" s="46" t="e">
        <f>#NAME?</f>
        <v>#NAME?</v>
      </c>
    </row>
    <row r="651" spans="1:4" x14ac:dyDescent="0.3">
      <c r="A651" s="48">
        <v>358205083586068</v>
      </c>
      <c r="B651" s="49">
        <v>45338.454074074078</v>
      </c>
      <c r="C651" s="46" t="s">
        <v>10</v>
      </c>
      <c r="D651" s="46" t="e">
        <f>#NAME?</f>
        <v>#NAME?</v>
      </c>
    </row>
    <row r="652" spans="1:4" x14ac:dyDescent="0.3">
      <c r="A652" s="48">
        <v>358205083586076</v>
      </c>
      <c r="B652" s="49">
        <v>45338.499988425923</v>
      </c>
      <c r="C652" s="46" t="s">
        <v>10</v>
      </c>
      <c r="D652" s="46" t="e">
        <f>#NAME?</f>
        <v>#NAME?</v>
      </c>
    </row>
    <row r="653" spans="1:4" x14ac:dyDescent="0.3">
      <c r="A653" s="48">
        <v>358205083586084</v>
      </c>
      <c r="B653" s="49">
        <v>45338.500300925924</v>
      </c>
      <c r="C653" s="46" t="s">
        <v>10</v>
      </c>
      <c r="D653" s="46" t="e">
        <f>#NAME?</f>
        <v>#NAME?</v>
      </c>
    </row>
    <row r="654" spans="1:4" x14ac:dyDescent="0.3">
      <c r="A654" s="48">
        <v>358205083586092</v>
      </c>
      <c r="B654" s="49">
        <v>45338.499756944446</v>
      </c>
      <c r="C654" s="46" t="s">
        <v>10</v>
      </c>
      <c r="D654" s="46" t="e">
        <f>#NAME?</f>
        <v>#NAME?</v>
      </c>
    </row>
    <row r="655" spans="1:4" x14ac:dyDescent="0.3">
      <c r="A655" s="48">
        <v>358205083586142</v>
      </c>
      <c r="B655" s="49">
        <v>45338.499976851854</v>
      </c>
      <c r="C655" s="46" t="s">
        <v>10</v>
      </c>
      <c r="D655" s="46" t="e">
        <f>#NAME?</f>
        <v>#NAME?</v>
      </c>
    </row>
    <row r="656" spans="1:4" x14ac:dyDescent="0.3">
      <c r="A656" s="48">
        <v>358205083586191</v>
      </c>
      <c r="B656" s="49">
        <v>45338.499664351853</v>
      </c>
      <c r="C656" s="46" t="s">
        <v>10</v>
      </c>
      <c r="D656" s="46" t="e">
        <f>#NAME?</f>
        <v>#NAME?</v>
      </c>
    </row>
    <row r="657" spans="1:4" x14ac:dyDescent="0.3">
      <c r="A657" s="48">
        <v>358205083586225</v>
      </c>
      <c r="B657" s="49">
        <v>45338.500300925924</v>
      </c>
      <c r="C657" s="46" t="s">
        <v>10</v>
      </c>
      <c r="D657" s="46" t="e">
        <f>#NAME?</f>
        <v>#NAME?</v>
      </c>
    </row>
    <row r="658" spans="1:4" x14ac:dyDescent="0.3">
      <c r="A658" s="48">
        <v>358205083586233</v>
      </c>
      <c r="B658" s="49">
        <v>45336.643391203703</v>
      </c>
      <c r="C658" s="46" t="s">
        <v>10</v>
      </c>
      <c r="D658" s="46" t="e">
        <f>#NAME?</f>
        <v>#NAME?</v>
      </c>
    </row>
    <row r="659" spans="1:4" x14ac:dyDescent="0.3">
      <c r="A659" s="48">
        <v>358205083586282</v>
      </c>
      <c r="B659" s="49">
        <v>45338.499780092592</v>
      </c>
      <c r="C659" s="46" t="s">
        <v>111</v>
      </c>
      <c r="D659" s="46" t="e">
        <f>#NAME?</f>
        <v>#NAME?</v>
      </c>
    </row>
    <row r="660" spans="1:4" x14ac:dyDescent="0.3">
      <c r="A660" s="48">
        <v>358205083586308</v>
      </c>
      <c r="B660" s="49">
        <v>45336.659745370373</v>
      </c>
      <c r="C660" s="46" t="s">
        <v>111</v>
      </c>
      <c r="D660" s="46" t="e">
        <f>#NAME?</f>
        <v>#NAME?</v>
      </c>
    </row>
    <row r="661" spans="1:4" x14ac:dyDescent="0.3">
      <c r="A661" s="48">
        <v>358205083586365</v>
      </c>
      <c r="B661" s="49">
        <v>45338.500011574077</v>
      </c>
      <c r="C661" s="46" t="s">
        <v>111</v>
      </c>
      <c r="D661" s="46" t="e">
        <f>#NAME?</f>
        <v>#NAME?</v>
      </c>
    </row>
    <row r="662" spans="1:4" x14ac:dyDescent="0.3">
      <c r="A662" s="48">
        <v>358205083586381</v>
      </c>
      <c r="B662" s="49">
        <v>45337.577118055553</v>
      </c>
      <c r="C662" s="46" t="s">
        <v>111</v>
      </c>
      <c r="D662" s="46" t="e">
        <f>#NAME?</f>
        <v>#NAME?</v>
      </c>
    </row>
    <row r="663" spans="1:4" x14ac:dyDescent="0.3">
      <c r="A663" s="48">
        <v>358205083586407</v>
      </c>
      <c r="B663" s="49">
        <v>45338.5</v>
      </c>
      <c r="C663" s="46" t="s">
        <v>10</v>
      </c>
      <c r="D663" s="46" t="e">
        <f>#NAME?</f>
        <v>#NAME?</v>
      </c>
    </row>
    <row r="664" spans="1:4" x14ac:dyDescent="0.3">
      <c r="A664" s="48">
        <v>358205083586423</v>
      </c>
      <c r="B664" s="49">
        <v>45338.499988425923</v>
      </c>
      <c r="C664" s="46" t="s">
        <v>111</v>
      </c>
      <c r="D664" s="46" t="e">
        <f>#NAME?</f>
        <v>#NAME?</v>
      </c>
    </row>
    <row r="665" spans="1:4" x14ac:dyDescent="0.3">
      <c r="A665" s="48">
        <v>358205083586431</v>
      </c>
      <c r="B665" s="49">
        <v>45337.580335648148</v>
      </c>
      <c r="C665" s="46" t="s">
        <v>162</v>
      </c>
      <c r="D665" s="46" t="e">
        <f>#NAME?</f>
        <v>#NAME?</v>
      </c>
    </row>
    <row r="666" spans="1:4" x14ac:dyDescent="0.3">
      <c r="A666" s="48">
        <v>358205083586456</v>
      </c>
      <c r="B666" s="49">
        <v>45338.499768518515</v>
      </c>
      <c r="C666" s="46" t="s">
        <v>111</v>
      </c>
      <c r="D666" s="46" t="e">
        <f>#NAME?</f>
        <v>#NAME?</v>
      </c>
    </row>
    <row r="667" spans="1:4" x14ac:dyDescent="0.3">
      <c r="A667" s="48">
        <v>358205083586472</v>
      </c>
      <c r="B667" s="49">
        <v>45337.542013888888</v>
      </c>
      <c r="C667" s="46" t="s">
        <v>162</v>
      </c>
      <c r="D667" s="46" t="e">
        <f>#NAME?</f>
        <v>#NAME?</v>
      </c>
    </row>
    <row r="668" spans="1:4" x14ac:dyDescent="0.3">
      <c r="A668" s="48">
        <v>358205083586506</v>
      </c>
      <c r="B668" s="49">
        <v>45338.4999537037</v>
      </c>
      <c r="C668" s="46" t="s">
        <v>111</v>
      </c>
      <c r="D668" s="46" t="e">
        <f>#NAME?</f>
        <v>#NAME?</v>
      </c>
    </row>
    <row r="669" spans="1:4" x14ac:dyDescent="0.3">
      <c r="A669" s="48">
        <v>358205083586548</v>
      </c>
      <c r="B669" s="49">
        <v>45337.621967592589</v>
      </c>
      <c r="C669" s="46" t="s">
        <v>37</v>
      </c>
      <c r="D669" s="46" t="e">
        <f>#NAME?</f>
        <v>#NAME?</v>
      </c>
    </row>
    <row r="670" spans="1:4" x14ac:dyDescent="0.3">
      <c r="A670" s="48">
        <v>358205083586563</v>
      </c>
      <c r="B670" s="49">
        <v>45338.468148148146</v>
      </c>
      <c r="C670" s="46" t="s">
        <v>37</v>
      </c>
      <c r="D670" s="46" t="e">
        <f>#NAME?</f>
        <v>#NAME?</v>
      </c>
    </row>
    <row r="671" spans="1:4" x14ac:dyDescent="0.3">
      <c r="A671" s="48">
        <v>358205083586571</v>
      </c>
      <c r="B671" s="49">
        <v>45338.468113425923</v>
      </c>
      <c r="C671" s="46" t="s">
        <v>37</v>
      </c>
      <c r="D671" s="46" t="e">
        <f>#NAME?</f>
        <v>#NAME?</v>
      </c>
    </row>
    <row r="672" spans="1:4" x14ac:dyDescent="0.3">
      <c r="A672" s="48">
        <v>358205083586589</v>
      </c>
      <c r="B672" s="49">
        <v>45338.500289351854</v>
      </c>
      <c r="C672" s="46" t="s">
        <v>37</v>
      </c>
      <c r="D672" s="46" t="e">
        <f>#NAME?</f>
        <v>#NAME?</v>
      </c>
    </row>
    <row r="673" spans="1:4" x14ac:dyDescent="0.3">
      <c r="A673" s="48">
        <v>358205083586605</v>
      </c>
      <c r="B673" s="49">
        <v>45338.499872685185</v>
      </c>
      <c r="C673" s="46" t="s">
        <v>162</v>
      </c>
      <c r="D673" s="46" t="e">
        <f>#NAME?</f>
        <v>#NAME?</v>
      </c>
    </row>
    <row r="674" spans="1:4" x14ac:dyDescent="0.3">
      <c r="A674" s="48">
        <v>358205083586613</v>
      </c>
      <c r="B674" s="49">
        <v>45338.5002662037</v>
      </c>
      <c r="C674" s="46" t="s">
        <v>174</v>
      </c>
      <c r="D674" s="46" t="e">
        <f>#NAME?</f>
        <v>#NAME?</v>
      </c>
    </row>
    <row r="675" spans="1:4" x14ac:dyDescent="0.3">
      <c r="A675" s="48">
        <v>358205083586621</v>
      </c>
      <c r="B675" s="49">
        <v>45336.262060185189</v>
      </c>
      <c r="C675" s="46" t="s">
        <v>162</v>
      </c>
      <c r="D675" s="46" t="e">
        <f>#NAME?</f>
        <v>#NAME?</v>
      </c>
    </row>
    <row r="676" spans="1:4" x14ac:dyDescent="0.3">
      <c r="A676" s="48">
        <v>358205083586639</v>
      </c>
      <c r="B676" s="49">
        <v>45338.500115740739</v>
      </c>
      <c r="C676" s="46" t="s">
        <v>174</v>
      </c>
      <c r="D676" s="46" t="e">
        <f>#NAME?</f>
        <v>#NAME?</v>
      </c>
    </row>
    <row r="677" spans="1:4" x14ac:dyDescent="0.3">
      <c r="A677" s="48">
        <v>358205083586670</v>
      </c>
      <c r="B677" s="49">
        <v>45338.500104166669</v>
      </c>
      <c r="C677" s="46" t="s">
        <v>174</v>
      </c>
      <c r="D677" s="46" t="e">
        <f>#NAME?</f>
        <v>#NAME?</v>
      </c>
    </row>
    <row r="678" spans="1:4" x14ac:dyDescent="0.3">
      <c r="A678" s="48">
        <v>358205083586704</v>
      </c>
      <c r="B678" s="49">
        <v>45336.523425925923</v>
      </c>
      <c r="C678" s="46" t="s">
        <v>174</v>
      </c>
      <c r="D678" s="46" t="e">
        <f>#NAME?</f>
        <v>#NAME?</v>
      </c>
    </row>
    <row r="679" spans="1:4" x14ac:dyDescent="0.3">
      <c r="A679" s="48">
        <v>358205083586803</v>
      </c>
      <c r="B679" s="49">
        <v>45338.499976851854</v>
      </c>
      <c r="C679" s="46" t="s">
        <v>37</v>
      </c>
      <c r="D679" s="46" t="e">
        <f>#NAME?</f>
        <v>#NAME?</v>
      </c>
    </row>
    <row r="680" spans="1:4" x14ac:dyDescent="0.3">
      <c r="A680" s="48">
        <v>358205083586811</v>
      </c>
      <c r="B680" s="49">
        <v>45336.403958333336</v>
      </c>
      <c r="C680" s="46" t="s">
        <v>37</v>
      </c>
      <c r="D680" s="46" t="e">
        <f>#NAME?</f>
        <v>#NAME?</v>
      </c>
    </row>
    <row r="681" spans="1:4" x14ac:dyDescent="0.3">
      <c r="A681" s="48">
        <v>358205083586852</v>
      </c>
      <c r="B681" s="49">
        <v>45338.367268518516</v>
      </c>
      <c r="C681" s="46" t="s">
        <v>37</v>
      </c>
      <c r="D681" s="46" t="e">
        <f>#NAME?</f>
        <v>#NAME?</v>
      </c>
    </row>
    <row r="682" spans="1:4" x14ac:dyDescent="0.3">
      <c r="A682" s="48">
        <v>358205083586936</v>
      </c>
      <c r="B682" s="49">
        <v>45338.436261574076</v>
      </c>
      <c r="C682" s="46" t="s">
        <v>111</v>
      </c>
      <c r="D682" s="46" t="e">
        <f>#NAME?</f>
        <v>#NAME?</v>
      </c>
    </row>
    <row r="683" spans="1:4" x14ac:dyDescent="0.3">
      <c r="A683" s="48">
        <v>358205083586977</v>
      </c>
      <c r="B683" s="49">
        <v>45337.545624999999</v>
      </c>
      <c r="C683" s="46" t="s">
        <v>111</v>
      </c>
      <c r="D683" s="46" t="e">
        <f>#NAME?</f>
        <v>#NAME?</v>
      </c>
    </row>
    <row r="684" spans="1:4" x14ac:dyDescent="0.3">
      <c r="A684" s="48">
        <v>358205083586993</v>
      </c>
      <c r="B684" s="49">
        <v>45338.499965277777</v>
      </c>
      <c r="C684" s="46" t="s">
        <v>111</v>
      </c>
      <c r="D684" s="46" t="e">
        <f>#NAME?</f>
        <v>#NAME?</v>
      </c>
    </row>
    <row r="685" spans="1:4" x14ac:dyDescent="0.3">
      <c r="A685" s="48">
        <v>358205083587058</v>
      </c>
      <c r="B685" s="49">
        <v>45338.499907407408</v>
      </c>
      <c r="C685" s="46" t="s">
        <v>111</v>
      </c>
      <c r="D685" s="46" t="e">
        <f>#NAME?</f>
        <v>#NAME?</v>
      </c>
    </row>
    <row r="686" spans="1:4" x14ac:dyDescent="0.3">
      <c r="A686" s="48">
        <v>358205083587074</v>
      </c>
      <c r="B686" s="49">
        <v>45338.499965277777</v>
      </c>
      <c r="C686" s="46" t="s">
        <v>144</v>
      </c>
      <c r="D686" s="46" t="e">
        <f>#NAME?</f>
        <v>#NAME?</v>
      </c>
    </row>
    <row r="687" spans="1:4" x14ac:dyDescent="0.3">
      <c r="A687" s="48">
        <v>358205083587132</v>
      </c>
      <c r="B687" s="49">
        <v>45338.499641203707</v>
      </c>
      <c r="C687" s="46" t="s">
        <v>225</v>
      </c>
      <c r="D687" s="46" t="e">
        <f>#NAME?</f>
        <v>#NAME?</v>
      </c>
    </row>
    <row r="688" spans="1:4" x14ac:dyDescent="0.3">
      <c r="A688" s="48">
        <v>358205083587140</v>
      </c>
      <c r="B688" s="49">
        <v>45338.5002662037</v>
      </c>
      <c r="C688" s="46" t="s">
        <v>10</v>
      </c>
      <c r="D688" s="46" t="e">
        <f>#NAME?</f>
        <v>#NAME?</v>
      </c>
    </row>
    <row r="689" spans="1:4" x14ac:dyDescent="0.3">
      <c r="A689" s="48">
        <v>358205083587181</v>
      </c>
      <c r="B689" s="49">
        <v>45338.499861111108</v>
      </c>
      <c r="C689" s="46" t="s">
        <v>10</v>
      </c>
      <c r="D689" s="46" t="e">
        <f>#NAME?</f>
        <v>#NAME?</v>
      </c>
    </row>
    <row r="690" spans="1:4" x14ac:dyDescent="0.3">
      <c r="A690" s="48">
        <v>358205083587231</v>
      </c>
      <c r="B690" s="49">
        <v>45337.277337962965</v>
      </c>
      <c r="C690" s="46" t="s">
        <v>144</v>
      </c>
      <c r="D690" s="46" t="e">
        <f>#NAME?</f>
        <v>#NAME?</v>
      </c>
    </row>
    <row r="691" spans="1:4" x14ac:dyDescent="0.3">
      <c r="A691" s="48">
        <v>358205083587603</v>
      </c>
      <c r="B691" s="49">
        <v>45338.499930555554</v>
      </c>
      <c r="C691" s="46" t="s">
        <v>174</v>
      </c>
      <c r="D691" s="46" t="e">
        <f>#NAME?</f>
        <v>#NAME?</v>
      </c>
    </row>
    <row r="692" spans="1:4" x14ac:dyDescent="0.3">
      <c r="A692" s="48">
        <v>358205083587637</v>
      </c>
      <c r="B692" s="49">
        <v>45336.263113425928</v>
      </c>
      <c r="C692" s="46" t="s">
        <v>111</v>
      </c>
      <c r="D692" s="46" t="e">
        <f>#NAME?</f>
        <v>#NAME?</v>
      </c>
    </row>
    <row r="693" spans="1:4" x14ac:dyDescent="0.3">
      <c r="A693" s="48">
        <v>358205083587769</v>
      </c>
      <c r="B693" s="49">
        <v>45338.500162037039</v>
      </c>
      <c r="C693" s="46" t="s">
        <v>111</v>
      </c>
      <c r="D693" s="46" t="e">
        <f>#NAME?</f>
        <v>#NAME?</v>
      </c>
    </row>
    <row r="694" spans="1:4" x14ac:dyDescent="0.3">
      <c r="A694" s="48">
        <v>358205083587793</v>
      </c>
      <c r="B694" s="49">
        <v>45336.583009259259</v>
      </c>
      <c r="C694" s="46" t="s">
        <v>111</v>
      </c>
      <c r="D694" s="46" t="e">
        <f>#NAME?</f>
        <v>#NAME?</v>
      </c>
    </row>
    <row r="695" spans="1:4" x14ac:dyDescent="0.3">
      <c r="A695" s="48">
        <v>358205083587819</v>
      </c>
      <c r="B695" s="49">
        <v>45338.499884259261</v>
      </c>
      <c r="C695" s="46" t="s">
        <v>111</v>
      </c>
      <c r="D695" s="46" t="e">
        <f>#NAME?</f>
        <v>#NAME?</v>
      </c>
    </row>
    <row r="696" spans="1:4" x14ac:dyDescent="0.3">
      <c r="A696" s="48">
        <v>358205083587827</v>
      </c>
      <c r="B696" s="49">
        <v>45337.533958333333</v>
      </c>
      <c r="C696" s="46" t="s">
        <v>111</v>
      </c>
      <c r="D696" s="46" t="e">
        <f>#NAME?</f>
        <v>#NAME?</v>
      </c>
    </row>
    <row r="697" spans="1:4" x14ac:dyDescent="0.3">
      <c r="A697" s="48">
        <v>358205083587835</v>
      </c>
      <c r="B697" s="49">
        <v>45336.565057870372</v>
      </c>
      <c r="C697" s="46" t="s">
        <v>76</v>
      </c>
      <c r="D697" s="46" t="e">
        <f>#NAME?</f>
        <v>#NAME?</v>
      </c>
    </row>
    <row r="698" spans="1:4" x14ac:dyDescent="0.3">
      <c r="A698" s="48">
        <v>358205083587900</v>
      </c>
      <c r="B698" s="49">
        <v>45338.500162037039</v>
      </c>
      <c r="C698" s="46" t="s">
        <v>111</v>
      </c>
      <c r="D698" s="46" t="e">
        <f>#NAME?</f>
        <v>#NAME?</v>
      </c>
    </row>
    <row r="699" spans="1:4" x14ac:dyDescent="0.3">
      <c r="A699" s="48">
        <v>358205083587942</v>
      </c>
      <c r="B699" s="49">
        <v>45337.558599537035</v>
      </c>
      <c r="C699" s="46" t="s">
        <v>76</v>
      </c>
      <c r="D699" s="46" t="e">
        <f>#NAME?</f>
        <v>#NAME?</v>
      </c>
    </row>
    <row r="700" spans="1:4" x14ac:dyDescent="0.3">
      <c r="A700" s="48">
        <v>358205083587983</v>
      </c>
      <c r="B700" s="49">
        <v>45338.318113425928</v>
      </c>
      <c r="C700" s="46" t="s">
        <v>76</v>
      </c>
      <c r="D700" s="46" t="e">
        <f>#NAME?</f>
        <v>#NAME?</v>
      </c>
    </row>
    <row r="701" spans="1:4" x14ac:dyDescent="0.3">
      <c r="A701" s="48">
        <v>358205083588007</v>
      </c>
      <c r="B701" s="49">
        <v>45337.576168981483</v>
      </c>
      <c r="C701" s="46" t="s">
        <v>111</v>
      </c>
      <c r="D701" s="46" t="e">
        <f>#NAME?</f>
        <v>#NAME?</v>
      </c>
    </row>
    <row r="702" spans="1:4" x14ac:dyDescent="0.3">
      <c r="A702" s="48">
        <v>358205083588015</v>
      </c>
      <c r="B702" s="49">
        <v>45336.437511574077</v>
      </c>
      <c r="C702" s="46" t="s">
        <v>76</v>
      </c>
      <c r="D702" s="46" t="e">
        <f>#NAME?</f>
        <v>#NAME?</v>
      </c>
    </row>
    <row r="703" spans="1:4" x14ac:dyDescent="0.3">
      <c r="A703" s="48">
        <v>358205083588023</v>
      </c>
      <c r="B703" s="49">
        <v>45337.415034722224</v>
      </c>
      <c r="C703" s="46" t="s">
        <v>76</v>
      </c>
      <c r="D703" s="46" t="e">
        <f>#NAME?</f>
        <v>#NAME?</v>
      </c>
    </row>
    <row r="704" spans="1:4" x14ac:dyDescent="0.3">
      <c r="A704" s="48">
        <v>358205083588031</v>
      </c>
      <c r="B704" s="49">
        <v>45338.319409722222</v>
      </c>
      <c r="C704" s="46" t="s">
        <v>76</v>
      </c>
      <c r="D704" s="46" t="e">
        <f>#NAME?</f>
        <v>#NAME?</v>
      </c>
    </row>
    <row r="705" spans="1:4" x14ac:dyDescent="0.3">
      <c r="A705" s="48">
        <v>358205083588106</v>
      </c>
      <c r="B705" s="49">
        <v>45338.4999537037</v>
      </c>
      <c r="C705" s="46" t="s">
        <v>111</v>
      </c>
      <c r="D705" s="46" t="e">
        <f>#NAME?</f>
        <v>#NAME?</v>
      </c>
    </row>
    <row r="706" spans="1:4" x14ac:dyDescent="0.3">
      <c r="A706" s="48">
        <v>358205083588122</v>
      </c>
      <c r="B706" s="49">
        <v>45338.499814814815</v>
      </c>
      <c r="C706" s="46" t="s">
        <v>111</v>
      </c>
      <c r="D706" s="46" t="e">
        <f>#NAME?</f>
        <v>#NAME?</v>
      </c>
    </row>
    <row r="707" spans="1:4" x14ac:dyDescent="0.3">
      <c r="A707" s="48">
        <v>358205083588239</v>
      </c>
      <c r="B707" s="49">
        <v>45338.499861111108</v>
      </c>
      <c r="C707" s="46" t="s">
        <v>37</v>
      </c>
      <c r="D707" s="46" t="e">
        <f>#NAME?</f>
        <v>#NAME?</v>
      </c>
    </row>
    <row r="708" spans="1:4" x14ac:dyDescent="0.3">
      <c r="A708" s="48">
        <v>358205083588254</v>
      </c>
      <c r="B708" s="49">
        <v>45338.500057870369</v>
      </c>
      <c r="C708" s="46" t="s">
        <v>37</v>
      </c>
      <c r="D708" s="46" t="e">
        <f>#NAME?</f>
        <v>#NAME?</v>
      </c>
    </row>
    <row r="709" spans="1:4" x14ac:dyDescent="0.3">
      <c r="A709" s="48">
        <v>358205083588395</v>
      </c>
      <c r="B709" s="49">
        <v>45338.499699074076</v>
      </c>
      <c r="C709" s="46" t="s">
        <v>37</v>
      </c>
      <c r="D709" s="46" t="e">
        <f>#NAME?</f>
        <v>#NAME?</v>
      </c>
    </row>
    <row r="710" spans="1:4" x14ac:dyDescent="0.3">
      <c r="A710" s="48">
        <v>358205083588494</v>
      </c>
      <c r="B710" s="49">
        <v>45338.500185185185</v>
      </c>
      <c r="C710" s="46" t="s">
        <v>119</v>
      </c>
      <c r="D710" s="46" t="e">
        <f>#NAME?</f>
        <v>#NAME?</v>
      </c>
    </row>
    <row r="711" spans="1:4" x14ac:dyDescent="0.3">
      <c r="A711" s="48">
        <v>358205083588601</v>
      </c>
      <c r="B711" s="49">
        <v>45336.15457175926</v>
      </c>
      <c r="C711" s="46" t="s">
        <v>119</v>
      </c>
      <c r="D711" s="46" t="e">
        <f>#NAME?</f>
        <v>#NAME?</v>
      </c>
    </row>
    <row r="712" spans="1:4" x14ac:dyDescent="0.3">
      <c r="A712" s="48">
        <v>358205083588627</v>
      </c>
      <c r="B712" s="49">
        <v>45338.499918981484</v>
      </c>
      <c r="C712" s="46" t="s">
        <v>119</v>
      </c>
      <c r="D712" s="46" t="e">
        <f>#NAME?</f>
        <v>#NAME?</v>
      </c>
    </row>
    <row r="713" spans="1:4" x14ac:dyDescent="0.3">
      <c r="A713" s="48">
        <v>358205083588676</v>
      </c>
      <c r="B713" s="49">
        <v>45338.499895833331</v>
      </c>
      <c r="C713" s="46" t="s">
        <v>37</v>
      </c>
      <c r="D713" s="46" t="e">
        <f>#NAME?</f>
        <v>#NAME?</v>
      </c>
    </row>
    <row r="714" spans="1:4" x14ac:dyDescent="0.3">
      <c r="A714" s="48">
        <v>358205083588684</v>
      </c>
      <c r="B714" s="49">
        <v>45338.500150462962</v>
      </c>
      <c r="C714" s="46" t="s">
        <v>10</v>
      </c>
      <c r="D714" s="46" t="e">
        <f>#NAME?</f>
        <v>#NAME?</v>
      </c>
    </row>
    <row r="715" spans="1:4" x14ac:dyDescent="0.3">
      <c r="A715" s="48">
        <v>358205083588700</v>
      </c>
      <c r="B715" s="49">
        <v>45338.500150462962</v>
      </c>
      <c r="C715" s="46" t="s">
        <v>119</v>
      </c>
      <c r="D715" s="46" t="e">
        <f>#NAME?</f>
        <v>#NAME?</v>
      </c>
    </row>
    <row r="716" spans="1:4" x14ac:dyDescent="0.3">
      <c r="A716" s="48">
        <v>358205083588718</v>
      </c>
      <c r="B716" s="49">
        <v>45338.499722222223</v>
      </c>
      <c r="C716" s="46" t="s">
        <v>37</v>
      </c>
      <c r="D716" s="46" t="e">
        <f>#NAME?</f>
        <v>#NAME?</v>
      </c>
    </row>
    <row r="717" spans="1:4" x14ac:dyDescent="0.3">
      <c r="A717" s="48">
        <v>358205083588809</v>
      </c>
      <c r="B717" s="49">
        <v>45338.500277777777</v>
      </c>
      <c r="C717" s="46" t="s">
        <v>10</v>
      </c>
      <c r="D717" s="46" t="e">
        <f>#NAME?</f>
        <v>#NAME?</v>
      </c>
    </row>
    <row r="718" spans="1:4" x14ac:dyDescent="0.3">
      <c r="A718" s="48">
        <v>358205083588817</v>
      </c>
      <c r="B718" s="49">
        <v>45338.499872685185</v>
      </c>
      <c r="C718" s="46" t="s">
        <v>111</v>
      </c>
      <c r="D718" s="46" t="e">
        <f>#NAME?</f>
        <v>#NAME?</v>
      </c>
    </row>
    <row r="719" spans="1:4" x14ac:dyDescent="0.3">
      <c r="A719" s="48">
        <v>358205083588825</v>
      </c>
      <c r="B719" s="49">
        <v>45336.569664351853</v>
      </c>
      <c r="C719" s="46" t="s">
        <v>76</v>
      </c>
      <c r="D719" s="46" t="e">
        <f>#NAME?</f>
        <v>#NAME?</v>
      </c>
    </row>
    <row r="720" spans="1:4" x14ac:dyDescent="0.3">
      <c r="A720" s="48">
        <v>358205083588833</v>
      </c>
      <c r="B720" s="49">
        <v>45336.52071759259</v>
      </c>
      <c r="C720" s="46" t="s">
        <v>119</v>
      </c>
      <c r="D720" s="46" t="e">
        <f>#NAME?</f>
        <v>#NAME?</v>
      </c>
    </row>
    <row r="721" spans="1:4" x14ac:dyDescent="0.3">
      <c r="A721" s="48">
        <v>358205083588858</v>
      </c>
      <c r="B721" s="49">
        <v>45338.499652777777</v>
      </c>
      <c r="C721" s="46" t="s">
        <v>119</v>
      </c>
      <c r="D721" s="46" t="e">
        <f>#NAME?</f>
        <v>#NAME?</v>
      </c>
    </row>
    <row r="722" spans="1:4" x14ac:dyDescent="0.3">
      <c r="A722" s="48">
        <v>358205083588866</v>
      </c>
      <c r="B722" s="49">
        <v>45338.4997337963</v>
      </c>
      <c r="C722" s="46" t="s">
        <v>111</v>
      </c>
      <c r="D722" s="46" t="e">
        <f>#NAME?</f>
        <v>#NAME?</v>
      </c>
    </row>
    <row r="723" spans="1:4" x14ac:dyDescent="0.3">
      <c r="A723" s="48">
        <v>358205083588890</v>
      </c>
      <c r="B723" s="49">
        <v>45338.499826388892</v>
      </c>
      <c r="C723" s="46" t="s">
        <v>119</v>
      </c>
      <c r="D723" s="46" t="e">
        <f>#NAME?</f>
        <v>#NAME?</v>
      </c>
    </row>
    <row r="724" spans="1:4" x14ac:dyDescent="0.3">
      <c r="A724" s="48">
        <v>358205083588908</v>
      </c>
      <c r="B724" s="49">
        <v>45338.387812499997</v>
      </c>
      <c r="C724" s="46" t="s">
        <v>119</v>
      </c>
      <c r="D724" s="46" t="e">
        <f>#NAME?</f>
        <v>#NAME?</v>
      </c>
    </row>
    <row r="725" spans="1:4" x14ac:dyDescent="0.3">
      <c r="A725" s="48">
        <v>358205083588916</v>
      </c>
      <c r="B725" s="49">
        <v>45338.500034722223</v>
      </c>
      <c r="C725" s="46" t="s">
        <v>111</v>
      </c>
      <c r="D725" s="46" t="e">
        <f>#NAME?</f>
        <v>#NAME?</v>
      </c>
    </row>
    <row r="726" spans="1:4" x14ac:dyDescent="0.3">
      <c r="A726" s="48">
        <v>358205083588965</v>
      </c>
      <c r="B726" s="49">
        <v>45338.5002662037</v>
      </c>
      <c r="C726" s="46" t="s">
        <v>119</v>
      </c>
      <c r="D726" s="46" t="e">
        <f>#NAME?</f>
        <v>#NAME?</v>
      </c>
    </row>
    <row r="727" spans="1:4" x14ac:dyDescent="0.3">
      <c r="A727" s="48">
        <v>358205083589047</v>
      </c>
      <c r="B727" s="49">
        <v>45338.499942129631</v>
      </c>
      <c r="C727" s="46" t="s">
        <v>37</v>
      </c>
      <c r="D727" s="46" t="e">
        <f>#NAME?</f>
        <v>#NAME?</v>
      </c>
    </row>
    <row r="728" spans="1:4" x14ac:dyDescent="0.3">
      <c r="A728" s="48">
        <v>358205083589070</v>
      </c>
      <c r="B728" s="49">
        <v>45337.437407407408</v>
      </c>
      <c r="C728" s="46" t="s">
        <v>162</v>
      </c>
      <c r="D728" s="46" t="e">
        <f>#NAME?</f>
        <v>#NAME?</v>
      </c>
    </row>
    <row r="729" spans="1:4" x14ac:dyDescent="0.3">
      <c r="A729" s="48">
        <v>358205083589112</v>
      </c>
      <c r="B729" s="49">
        <v>45338.4996875</v>
      </c>
      <c r="C729" s="46" t="s">
        <v>37</v>
      </c>
      <c r="D729" s="46" t="e">
        <f>#NAME?</f>
        <v>#NAME?</v>
      </c>
    </row>
    <row r="730" spans="1:4" x14ac:dyDescent="0.3">
      <c r="A730" s="48">
        <v>358205083589153</v>
      </c>
      <c r="B730" s="49">
        <v>45338.243796296294</v>
      </c>
      <c r="C730" s="46" t="s">
        <v>162</v>
      </c>
      <c r="D730" s="46" t="e">
        <f>#NAME?</f>
        <v>#NAME?</v>
      </c>
    </row>
    <row r="731" spans="1:4" x14ac:dyDescent="0.3">
      <c r="A731" s="48">
        <v>358205084158396</v>
      </c>
      <c r="B731" s="49">
        <v>45338.499826388892</v>
      </c>
      <c r="C731" s="46" t="s">
        <v>111</v>
      </c>
      <c r="D731" s="46" t="e">
        <f>#NAME?</f>
        <v>#NAME?</v>
      </c>
    </row>
    <row r="732" spans="1:4" x14ac:dyDescent="0.3">
      <c r="A732" s="48">
        <v>358205084158586</v>
      </c>
      <c r="B732" s="49">
        <v>45338.490486111114</v>
      </c>
      <c r="C732" s="46" t="s">
        <v>111</v>
      </c>
      <c r="D732" s="46" t="e">
        <f>#NAME?</f>
        <v>#NAME?</v>
      </c>
    </row>
    <row r="733" spans="1:4" x14ac:dyDescent="0.3">
      <c r="A733" s="48">
        <v>358205084158594</v>
      </c>
      <c r="B733" s="49">
        <v>45338.499756944446</v>
      </c>
      <c r="C733" s="46" t="s">
        <v>111</v>
      </c>
      <c r="D733" s="46" t="e">
        <f>#NAME?</f>
        <v>#NAME?</v>
      </c>
    </row>
    <row r="734" spans="1:4" x14ac:dyDescent="0.3">
      <c r="A734" s="48">
        <v>358205084158701</v>
      </c>
      <c r="B734" s="49">
        <v>45336.263009259259</v>
      </c>
      <c r="C734" s="46" t="s">
        <v>111</v>
      </c>
      <c r="D734" s="46" t="e">
        <f>#NAME?</f>
        <v>#NAME?</v>
      </c>
    </row>
    <row r="735" spans="1:4" x14ac:dyDescent="0.3">
      <c r="A735" s="48">
        <v>358205084158800</v>
      </c>
      <c r="B735" s="49">
        <v>45338.500034722223</v>
      </c>
      <c r="C735" s="46" t="s">
        <v>111</v>
      </c>
      <c r="D735" s="46" t="e">
        <f>#NAME?</f>
        <v>#NAME?</v>
      </c>
    </row>
    <row r="736" spans="1:4" x14ac:dyDescent="0.3">
      <c r="A736" s="48">
        <v>358205084158834</v>
      </c>
      <c r="B736" s="49">
        <v>45336.212465277778</v>
      </c>
      <c r="C736" s="46" t="s">
        <v>111</v>
      </c>
      <c r="D736" s="46" t="e">
        <f>#NAME?</f>
        <v>#NAME?</v>
      </c>
    </row>
    <row r="737" spans="1:4" x14ac:dyDescent="0.3">
      <c r="A737" s="48">
        <v>358205084159840</v>
      </c>
      <c r="B737" s="49">
        <v>45336.185960648145</v>
      </c>
      <c r="C737" s="46" t="s">
        <v>111</v>
      </c>
      <c r="D737" s="46" t="e">
        <f>#NAME?</f>
        <v>#NAME?</v>
      </c>
    </row>
    <row r="738" spans="1:4" x14ac:dyDescent="0.3">
      <c r="A738" s="48">
        <v>358205084160004</v>
      </c>
      <c r="B738" s="49">
        <v>45338.499699074076</v>
      </c>
      <c r="C738" s="46" t="s">
        <v>111</v>
      </c>
      <c r="D738" s="46" t="e">
        <f>#NAME?</f>
        <v>#NAME?</v>
      </c>
    </row>
    <row r="739" spans="1:4" x14ac:dyDescent="0.3">
      <c r="A739" s="48">
        <v>358205084160053</v>
      </c>
      <c r="B739" s="49">
        <v>45338.5002662037</v>
      </c>
      <c r="C739" s="46" t="s">
        <v>111</v>
      </c>
      <c r="D739" s="46" t="e">
        <f>#NAME?</f>
        <v>#NAME?</v>
      </c>
    </row>
    <row r="740" spans="1:4" x14ac:dyDescent="0.3">
      <c r="A740" s="48">
        <v>358205084160129</v>
      </c>
      <c r="B740" s="49">
        <v>45338.499837962961</v>
      </c>
      <c r="C740" s="46" t="s">
        <v>111</v>
      </c>
      <c r="D740" s="46" t="e">
        <f>#NAME?</f>
        <v>#NAME?</v>
      </c>
    </row>
    <row r="741" spans="1:4" x14ac:dyDescent="0.3">
      <c r="A741" s="48">
        <v>358205084170789</v>
      </c>
      <c r="B741" s="49">
        <v>45336.385868055557</v>
      </c>
      <c r="C741" s="46" t="s">
        <v>111</v>
      </c>
      <c r="D741" s="46" t="e">
        <f>#NAME?</f>
        <v>#NAME?</v>
      </c>
    </row>
    <row r="742" spans="1:4" x14ac:dyDescent="0.3">
      <c r="A742" s="48">
        <v>358205084171191</v>
      </c>
      <c r="B742" s="49">
        <v>45338.499814814815</v>
      </c>
      <c r="C742" s="46" t="s">
        <v>111</v>
      </c>
      <c r="D742" s="46" t="e">
        <f>#NAME?</f>
        <v>#NAME?</v>
      </c>
    </row>
    <row r="743" spans="1:4" x14ac:dyDescent="0.3">
      <c r="A743" s="48">
        <v>358205084520868</v>
      </c>
      <c r="B743" s="49">
        <v>45337.583668981482</v>
      </c>
      <c r="C743" s="46" t="s">
        <v>167</v>
      </c>
      <c r="D743" s="46" t="e">
        <f>#NAME?</f>
        <v>#NAME?</v>
      </c>
    </row>
    <row r="744" spans="1:4" x14ac:dyDescent="0.3">
      <c r="A744" s="48">
        <v>358205084522047</v>
      </c>
      <c r="B744" s="49">
        <v>45335.765717592592</v>
      </c>
      <c r="C744" s="46" t="s">
        <v>167</v>
      </c>
      <c r="D744" s="46" t="e">
        <f>#NAME?</f>
        <v>#NAME?</v>
      </c>
    </row>
    <row r="745" spans="1:4" x14ac:dyDescent="0.3">
      <c r="A745" s="48">
        <v>358205084522088</v>
      </c>
      <c r="B745" s="49">
        <v>45338.499965277777</v>
      </c>
      <c r="C745" s="46" t="s">
        <v>167</v>
      </c>
      <c r="D745" s="46" t="e">
        <f>#NAME?</f>
        <v>#NAME?</v>
      </c>
    </row>
    <row r="746" spans="1:4" x14ac:dyDescent="0.3">
      <c r="A746" s="48">
        <v>358205084538530</v>
      </c>
      <c r="B746" s="49">
        <v>45338.499618055554</v>
      </c>
      <c r="C746" s="46" t="s">
        <v>10</v>
      </c>
      <c r="D746" s="46" t="e">
        <f>#NAME?</f>
        <v>#NAME?</v>
      </c>
    </row>
    <row r="747" spans="1:4" x14ac:dyDescent="0.3">
      <c r="A747" s="48">
        <v>358205084539884</v>
      </c>
      <c r="B747" s="49">
        <v>45338.499722222223</v>
      </c>
      <c r="C747" s="46" t="s">
        <v>10</v>
      </c>
      <c r="D747" s="46" t="e">
        <f>#NAME?</f>
        <v>#NAME?</v>
      </c>
    </row>
    <row r="748" spans="1:4" x14ac:dyDescent="0.3">
      <c r="A748" s="48">
        <v>358205086905414</v>
      </c>
      <c r="B748" s="49">
        <v>45337.743900462963</v>
      </c>
      <c r="C748" s="46" t="s">
        <v>10</v>
      </c>
      <c r="D748" s="46" t="e">
        <f>#NAME?</f>
        <v>#NAME?</v>
      </c>
    </row>
    <row r="749" spans="1:4" x14ac:dyDescent="0.3">
      <c r="A749" s="48">
        <v>358205086906560</v>
      </c>
      <c r="B749" s="49">
        <v>45338.5002662037</v>
      </c>
      <c r="C749" s="46" t="s">
        <v>10</v>
      </c>
      <c r="D749" s="46" t="e">
        <f>#NAME?</f>
        <v>#NAME?</v>
      </c>
    </row>
    <row r="750" spans="1:4" x14ac:dyDescent="0.3">
      <c r="A750" s="48">
        <v>358205086908616</v>
      </c>
      <c r="B750" s="49">
        <v>45338.387129629627</v>
      </c>
      <c r="C750" s="46" t="s">
        <v>10</v>
      </c>
      <c r="D750" s="46" t="e">
        <f>#NAME?</f>
        <v>#NAME?</v>
      </c>
    </row>
    <row r="751" spans="1:4" x14ac:dyDescent="0.3">
      <c r="A751" s="48">
        <v>358205086908772</v>
      </c>
      <c r="B751" s="49">
        <v>45338.499768518515</v>
      </c>
      <c r="C751" s="46" t="s">
        <v>10</v>
      </c>
      <c r="D751" s="46" t="e">
        <f>#NAME?</f>
        <v>#NAME?</v>
      </c>
    </row>
    <row r="752" spans="1:4" x14ac:dyDescent="0.3">
      <c r="A752" s="48">
        <v>358205086908913</v>
      </c>
      <c r="B752" s="49">
        <v>45338.401666666665</v>
      </c>
      <c r="C752" s="46" t="s">
        <v>10</v>
      </c>
      <c r="D752" s="46" t="e">
        <f>#NAME?</f>
        <v>#NAME?</v>
      </c>
    </row>
    <row r="753" spans="1:4" x14ac:dyDescent="0.3">
      <c r="A753" s="48">
        <v>358205086909119</v>
      </c>
      <c r="B753" s="49">
        <v>45336.55976851852</v>
      </c>
      <c r="C753" s="46" t="s">
        <v>10</v>
      </c>
      <c r="D753" s="46" t="e">
        <f>#NAME?</f>
        <v>#NAME?</v>
      </c>
    </row>
    <row r="754" spans="1:4" x14ac:dyDescent="0.3">
      <c r="A754" s="48">
        <v>358205086909614</v>
      </c>
      <c r="B754" s="49">
        <v>45338.500231481485</v>
      </c>
      <c r="C754" s="46" t="s">
        <v>10</v>
      </c>
      <c r="D754" s="46" t="e">
        <f>#NAME?</f>
        <v>#NAME?</v>
      </c>
    </row>
    <row r="755" spans="1:4" x14ac:dyDescent="0.3">
      <c r="A755" s="48">
        <v>358205086910570</v>
      </c>
      <c r="B755" s="49">
        <v>45338.499699074076</v>
      </c>
      <c r="C755" s="46" t="s">
        <v>10</v>
      </c>
      <c r="D755" s="46" t="e">
        <f>#NAME?</f>
        <v>#NAME?</v>
      </c>
    </row>
    <row r="756" spans="1:4" x14ac:dyDescent="0.3">
      <c r="A756" s="48">
        <v>358205086910679</v>
      </c>
      <c r="B756" s="49">
        <v>45338.500289351854</v>
      </c>
      <c r="C756" s="46" t="s">
        <v>10</v>
      </c>
      <c r="D756" s="46" t="e">
        <f>#NAME?</f>
        <v>#NAME?</v>
      </c>
    </row>
    <row r="757" spans="1:4" x14ac:dyDescent="0.3">
      <c r="A757" s="48">
        <v>358205086910745</v>
      </c>
      <c r="B757" s="49">
        <v>45338.499664351853</v>
      </c>
      <c r="C757" s="46" t="s">
        <v>10</v>
      </c>
      <c r="D757" s="46" t="e">
        <f>#NAME?</f>
        <v>#NAME?</v>
      </c>
    </row>
    <row r="758" spans="1:4" x14ac:dyDescent="0.3">
      <c r="A758" s="48">
        <v>358205086910802</v>
      </c>
      <c r="B758" s="49">
        <v>45338.500219907408</v>
      </c>
      <c r="C758" s="46" t="s">
        <v>10</v>
      </c>
      <c r="D758" s="46" t="e">
        <f>#NAME?</f>
        <v>#NAME?</v>
      </c>
    </row>
    <row r="759" spans="1:4" x14ac:dyDescent="0.3">
      <c r="A759" s="48">
        <v>358205086911180</v>
      </c>
      <c r="B759" s="49">
        <v>45336.378078703703</v>
      </c>
      <c r="C759" s="46" t="s">
        <v>10</v>
      </c>
      <c r="D759" s="46" t="e">
        <f>#NAME?</f>
        <v>#NAME?</v>
      </c>
    </row>
    <row r="760" spans="1:4" x14ac:dyDescent="0.3">
      <c r="A760" s="48">
        <v>358205086911560</v>
      </c>
      <c r="B760" s="49">
        <v>45337.432280092595</v>
      </c>
      <c r="C760" s="46" t="s">
        <v>10</v>
      </c>
      <c r="D760" s="46" t="e">
        <f>#NAME?</f>
        <v>#NAME?</v>
      </c>
    </row>
    <row r="761" spans="1:4" x14ac:dyDescent="0.3">
      <c r="A761" s="48">
        <v>358205086911677</v>
      </c>
      <c r="B761" s="49">
        <v>45338.500300925924</v>
      </c>
      <c r="C761" s="46" t="s">
        <v>10</v>
      </c>
      <c r="D761" s="46" t="e">
        <f>#NAME?</f>
        <v>#NAME?</v>
      </c>
    </row>
    <row r="762" spans="1:4" x14ac:dyDescent="0.3">
      <c r="A762" s="48">
        <v>358205086911859</v>
      </c>
      <c r="B762" s="49">
        <v>45338.190636574072</v>
      </c>
      <c r="C762" s="46" t="s">
        <v>10</v>
      </c>
      <c r="D762" s="46" t="e">
        <f>#NAME?</f>
        <v>#NAME?</v>
      </c>
    </row>
    <row r="763" spans="1:4" x14ac:dyDescent="0.3">
      <c r="A763" s="48">
        <v>358205086912659</v>
      </c>
      <c r="B763" s="49">
        <v>45337.77957175926</v>
      </c>
      <c r="C763" s="46" t="s">
        <v>10</v>
      </c>
      <c r="D763" s="46" t="e">
        <f>#NAME?</f>
        <v>#NAME?</v>
      </c>
    </row>
    <row r="764" spans="1:4" x14ac:dyDescent="0.3">
      <c r="A764" s="48">
        <v>358205086912873</v>
      </c>
      <c r="B764" s="49">
        <v>45338.161527777775</v>
      </c>
      <c r="C764" s="46" t="s">
        <v>10</v>
      </c>
      <c r="D764" s="46" t="e">
        <f>#NAME?</f>
        <v>#NAME?</v>
      </c>
    </row>
    <row r="765" spans="1:4" x14ac:dyDescent="0.3">
      <c r="A765" s="48">
        <v>358205086913061</v>
      </c>
      <c r="B765" s="49">
        <v>45338.467245370368</v>
      </c>
      <c r="C765" s="46" t="s">
        <v>10</v>
      </c>
      <c r="D765" s="46" t="e">
        <f>#NAME?</f>
        <v>#NAME?</v>
      </c>
    </row>
    <row r="766" spans="1:4" x14ac:dyDescent="0.3">
      <c r="A766" s="48">
        <v>358205086913657</v>
      </c>
      <c r="B766" s="49">
        <v>45338.430185185185</v>
      </c>
      <c r="C766" s="46" t="s">
        <v>10</v>
      </c>
      <c r="D766" s="46" t="e">
        <f>#NAME?</f>
        <v>#NAME?</v>
      </c>
    </row>
    <row r="767" spans="1:4" x14ac:dyDescent="0.3">
      <c r="A767" s="48">
        <v>358205086913673</v>
      </c>
      <c r="B767" s="49">
        <v>45338.392523148148</v>
      </c>
      <c r="C767" s="46" t="s">
        <v>10</v>
      </c>
      <c r="D767" s="46" t="e">
        <f>#NAME?</f>
        <v>#NAME?</v>
      </c>
    </row>
    <row r="768" spans="1:4" x14ac:dyDescent="0.3">
      <c r="A768" s="48">
        <v>358205086913871</v>
      </c>
      <c r="B768" s="49">
        <v>45338.342650462961</v>
      </c>
      <c r="C768" s="46" t="s">
        <v>10</v>
      </c>
      <c r="D768" s="46" t="e">
        <f>#NAME?</f>
        <v>#NAME?</v>
      </c>
    </row>
    <row r="769" spans="1:4" x14ac:dyDescent="0.3">
      <c r="A769" s="48">
        <v>358205086913921</v>
      </c>
      <c r="B769" s="49">
        <v>45338.500115740739</v>
      </c>
      <c r="C769" s="46" t="s">
        <v>10</v>
      </c>
      <c r="D769" s="46" t="e">
        <f>#NAME?</f>
        <v>#NAME?</v>
      </c>
    </row>
    <row r="770" spans="1:4" x14ac:dyDescent="0.3">
      <c r="A770" s="48">
        <v>358205086914283</v>
      </c>
      <c r="B770" s="49">
        <v>45338.374791666669</v>
      </c>
      <c r="C770" s="46" t="s">
        <v>10</v>
      </c>
      <c r="D770" s="46" t="e">
        <f>#NAME?</f>
        <v>#NAME?</v>
      </c>
    </row>
    <row r="771" spans="1:4" x14ac:dyDescent="0.3">
      <c r="A771" s="48">
        <v>358205089657988</v>
      </c>
      <c r="B771" s="49">
        <v>45338.499664351853</v>
      </c>
      <c r="C771" s="46" t="s">
        <v>76</v>
      </c>
      <c r="D771" s="46" t="e">
        <f>#NAME?</f>
        <v>#NAME?</v>
      </c>
    </row>
    <row r="772" spans="1:4" x14ac:dyDescent="0.3">
      <c r="A772" s="48">
        <v>355523115554885</v>
      </c>
      <c r="B772" s="49">
        <v>45338.5002662037</v>
      </c>
      <c r="C772" s="46" t="s">
        <v>111</v>
      </c>
      <c r="D772" s="46" t="e">
        <f>#NAME?</f>
        <v>#NAME?</v>
      </c>
    </row>
    <row r="773" spans="1:4" x14ac:dyDescent="0.3">
      <c r="A773" s="48">
        <v>358205080864179</v>
      </c>
      <c r="B773" s="49">
        <v>45336.217060185183</v>
      </c>
      <c r="C773" s="46" t="s">
        <v>174</v>
      </c>
      <c r="D773" s="46" t="e">
        <f>#NAME?</f>
        <v>#NAME?</v>
      </c>
    </row>
    <row r="774" spans="1:4" x14ac:dyDescent="0.3">
      <c r="A774" s="48">
        <v>358205080883948</v>
      </c>
      <c r="B774" s="49">
        <v>45338.45853009259</v>
      </c>
      <c r="C774" s="46" t="s">
        <v>76</v>
      </c>
      <c r="D774" s="46" t="e">
        <f>#NAME?</f>
        <v>#NAME?</v>
      </c>
    </row>
    <row r="775" spans="1:4" x14ac:dyDescent="0.3">
      <c r="A775" s="48">
        <v>358205080889408</v>
      </c>
      <c r="B775" s="49">
        <v>45338.458101851851</v>
      </c>
      <c r="C775" s="46" t="s">
        <v>76</v>
      </c>
      <c r="D775" s="46" t="e">
        <f>#NAME?</f>
        <v>#NAME?</v>
      </c>
    </row>
    <row r="776" spans="1:4" x14ac:dyDescent="0.3">
      <c r="A776" s="48">
        <v>358205080889416</v>
      </c>
      <c r="B776" s="49">
        <v>45338.45621527778</v>
      </c>
      <c r="C776" s="46" t="s">
        <v>76</v>
      </c>
      <c r="D776" s="46" t="e">
        <f>#NAME?</f>
        <v>#NAME?</v>
      </c>
    </row>
    <row r="777" spans="1:4" x14ac:dyDescent="0.3">
      <c r="A777" s="48">
        <v>358205080897864</v>
      </c>
      <c r="B777" s="49">
        <v>45338.500138888892</v>
      </c>
      <c r="C777" s="46" t="s">
        <v>174</v>
      </c>
      <c r="D777" s="46" t="e">
        <f>#NAME?</f>
        <v>#NAME?</v>
      </c>
    </row>
    <row r="778" spans="1:4" x14ac:dyDescent="0.3">
      <c r="A778" s="48">
        <v>358205080900155</v>
      </c>
      <c r="B778" s="49">
        <v>45338.499641203707</v>
      </c>
      <c r="C778" s="46" t="s">
        <v>76</v>
      </c>
      <c r="D778" s="46" t="e">
        <f>#NAME?</f>
        <v>#NAME?</v>
      </c>
    </row>
    <row r="779" spans="1:4" x14ac:dyDescent="0.3">
      <c r="A779" s="48">
        <v>358205080902102</v>
      </c>
      <c r="B779" s="49">
        <v>45338.45894675926</v>
      </c>
      <c r="C779" s="46" t="s">
        <v>76</v>
      </c>
      <c r="D779" s="46" t="e">
        <f>#NAME?</f>
        <v>#NAME?</v>
      </c>
    </row>
    <row r="780" spans="1:4" x14ac:dyDescent="0.3">
      <c r="A780" s="48">
        <v>358205080902110</v>
      </c>
      <c r="B780" s="49">
        <v>45337.2890162037</v>
      </c>
      <c r="C780" s="46" t="s">
        <v>76</v>
      </c>
      <c r="D780" s="46" t="e">
        <f>#NAME?</f>
        <v>#NAME?</v>
      </c>
    </row>
    <row r="781" spans="1:4" x14ac:dyDescent="0.3">
      <c r="A781" s="48">
        <v>358205080903019</v>
      </c>
      <c r="B781" s="49">
        <v>45338.499814814815</v>
      </c>
      <c r="C781" s="46" t="s">
        <v>174</v>
      </c>
      <c r="D781" s="46" t="e">
        <f>#NAME?</f>
        <v>#NAME?</v>
      </c>
    </row>
    <row r="782" spans="1:4" x14ac:dyDescent="0.3">
      <c r="A782" s="48">
        <v>358205080903043</v>
      </c>
      <c r="B782" s="49">
        <v>45338.445937500001</v>
      </c>
      <c r="C782" s="46" t="s">
        <v>174</v>
      </c>
      <c r="D782" s="46" t="e">
        <f>#NAME?</f>
        <v>#NAME?</v>
      </c>
    </row>
    <row r="783" spans="1:4" x14ac:dyDescent="0.3">
      <c r="A783" s="48">
        <v>358205080908307</v>
      </c>
      <c r="B783" s="49">
        <v>45337.566782407404</v>
      </c>
      <c r="C783" s="46" t="s">
        <v>76</v>
      </c>
      <c r="D783" s="46" t="e">
        <f>#NAME?</f>
        <v>#NAME?</v>
      </c>
    </row>
    <row r="784" spans="1:4" x14ac:dyDescent="0.3">
      <c r="A784" s="48">
        <v>358205080908349</v>
      </c>
      <c r="B784" s="49">
        <v>45338.46193287037</v>
      </c>
      <c r="C784" s="46" t="s">
        <v>76</v>
      </c>
      <c r="D784" s="46" t="e">
        <f>#NAME?</f>
        <v>#NAME?</v>
      </c>
    </row>
    <row r="785" spans="1:4" x14ac:dyDescent="0.3">
      <c r="A785" s="48">
        <v>358205080908364</v>
      </c>
      <c r="B785" s="49">
        <v>45338.461377314816</v>
      </c>
      <c r="C785" s="46" t="s">
        <v>76</v>
      </c>
      <c r="D785" s="46" t="e">
        <f>#NAME?</f>
        <v>#NAME?</v>
      </c>
    </row>
    <row r="786" spans="1:4" x14ac:dyDescent="0.3">
      <c r="A786" s="48">
        <v>358205080908406</v>
      </c>
      <c r="B786" s="49">
        <v>45338.459872685184</v>
      </c>
      <c r="C786" s="46" t="s">
        <v>76</v>
      </c>
      <c r="D786" s="46" t="e">
        <f>#NAME?</f>
        <v>#NAME?</v>
      </c>
    </row>
    <row r="787" spans="1:4" x14ac:dyDescent="0.3">
      <c r="A787" s="48">
        <v>358205080908414</v>
      </c>
      <c r="B787" s="49">
        <v>45338.459374999999</v>
      </c>
      <c r="C787" s="46" t="s">
        <v>76</v>
      </c>
      <c r="D787" s="46" t="e">
        <f>#NAME?</f>
        <v>#NAME?</v>
      </c>
    </row>
    <row r="788" spans="1:4" x14ac:dyDescent="0.3">
      <c r="A788" s="48">
        <v>358205083587991</v>
      </c>
      <c r="B788" s="49">
        <v>45337.420752314814</v>
      </c>
      <c r="C788" s="46" t="s">
        <v>76</v>
      </c>
      <c r="D788" s="46" t="e">
        <f>#NAME?</f>
        <v>#NAME?</v>
      </c>
    </row>
    <row r="789" spans="1:4" x14ac:dyDescent="0.3">
      <c r="A789" s="48">
        <v>358205086913533</v>
      </c>
      <c r="B789" s="49">
        <v>45338.500173611108</v>
      </c>
      <c r="C789" s="46" t="s">
        <v>10</v>
      </c>
      <c r="D789" s="46" t="e">
        <f>#NAME?</f>
        <v>#NAME?</v>
      </c>
    </row>
    <row r="790" spans="1:4" x14ac:dyDescent="0.3">
      <c r="A790" s="48">
        <v>358205080899779</v>
      </c>
      <c r="B790" s="49">
        <v>45337.407523148147</v>
      </c>
      <c r="C790" s="46" t="s">
        <v>76</v>
      </c>
      <c r="D790" s="46" t="e">
        <f>#NAME?</f>
        <v>#NAME?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10B39E-75B1-41A4-BE1B-BDD0E66A2E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План ОПЭ</vt:lpstr>
      <vt:lpstr>Неплан ОПЭ</vt:lpstr>
      <vt:lpstr>МДМ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Алехин Евгений Владимирович</dc:creator>
  <cp:keywords>ДЦТ</cp:keywords>
  <cp:lastModifiedBy>Александр Фролов</cp:lastModifiedBy>
  <cp:revision>3</cp:revision>
  <dcterms:created xsi:type="dcterms:W3CDTF">2023-01-26T14:24:56Z</dcterms:created>
  <dcterms:modified xsi:type="dcterms:W3CDTF">2024-02-19T15:01:19Z</dcterms:modified>
</cp:coreProperties>
</file>